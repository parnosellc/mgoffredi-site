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mpaign Structure" sheetId="2" state="visible" r:id="rId4"/>
    <sheet name="Ad Groups" sheetId="3" state="visible" r:id="rId5"/>
    <sheet name="Keywords" sheetId="4" state="visible" r:id="rId6"/>
    <sheet name="Ad Copy (RSAs)" sheetId="5" state="visible" r:id="rId7"/>
    <sheet name="Negative Keywords" sheetId="6" state="visible" r:id="rId8"/>
    <sheet name="Budget &amp; Bidding" sheetId="7" state="visible" r:id="rId9"/>
    <sheet name="Sitelinks &amp; Assets" sheetId="8" state="visible" r:id="rId10"/>
    <sheet name="90-Day Road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<sst xmlns="http://schemas.openxmlformats.org/spreadsheetml/2006/main" count="1479" uniqueCount="744">
  <si>
    <t xml:space="preserve">Yendos — Google Search Ads Plan</t>
  </si>
  <si>
    <t xml:space="preserve">Full campaign plan · 6 campaigns · Spanish-speaking markets · validated for 2026 RSA limits (30/90/15)</t>
  </si>
  <si>
    <t xml:space="preserve">Plan Summary</t>
  </si>
  <si>
    <t xml:space="preserve">Item</t>
  </si>
  <si>
    <t xml:space="preserve">Value</t>
  </si>
  <si>
    <t xml:space="preserve">Notes</t>
  </si>
  <si>
    <t xml:space="preserve">Campaigns</t>
  </si>
  <si>
    <t xml:space="preserve">C1 Brand · C2 Generic · C3 Tier 1 Destinations · C4 Tier 2 Destinations · C5 Competitor · C6 DSA</t>
  </si>
  <si>
    <t xml:space="preserve">Geos</t>
  </si>
  <si>
    <t xml:space="preserve">8 markets</t>
  </si>
  <si>
    <t xml:space="preserve">MX, AR, CL, CO, PE, UY, ES, US Hispanic</t>
  </si>
  <si>
    <t xml:space="preserve">Language</t>
  </si>
  <si>
    <t xml:space="preserve">Spanish</t>
  </si>
  <si>
    <t xml:space="preserve">All ad copy in Spanish</t>
  </si>
  <si>
    <t xml:space="preserve">Total monthly budget (start)</t>
  </si>
  <si>
    <t xml:space="preserve">$3,000 USD</t>
  </si>
  <si>
    <t xml:space="preserve">Adjust based on Yendos's actual spend appetite</t>
  </si>
  <si>
    <t xml:space="preserve">Conversion goal (primary)</t>
  </si>
  <si>
    <t xml:space="preserve">Purchase</t>
  </si>
  <si>
    <t xml:space="preserve">Secondary: Begin Checkout</t>
  </si>
  <si>
    <t xml:space="preserve">Tracking required</t>
  </si>
  <si>
    <t xml:space="preserve">Enhanced Conversions + Offline Uploads</t>
  </si>
  <si>
    <t xml:space="preserve">Both must be live before launch for Smart Bidding to work</t>
  </si>
  <si>
    <t xml:space="preserve">Bidding strategy</t>
  </si>
  <si>
    <t xml:space="preserve">Manual CPC → tCPA</t>
  </si>
  <si>
    <t xml:space="preserve">Switch after ~50 conversions per campaign</t>
  </si>
  <si>
    <t xml:space="preserve">Launch timing</t>
  </si>
  <si>
    <t xml:space="preserve">Phased over 14 days</t>
  </si>
  <si>
    <t xml:space="preserve">C1, C3, C5 first · then C2, C4, C6</t>
  </si>
  <si>
    <t xml:space="preserve">Sheet Index</t>
  </si>
  <si>
    <t xml:space="preserve">Sheet</t>
  </si>
  <si>
    <t xml:space="preserve">Contents</t>
  </si>
  <si>
    <t xml:space="preserve">1. Overview</t>
  </si>
  <si>
    <t xml:space="preserve">This page — plan summary</t>
  </si>
  <si>
    <t xml:space="preserve">2. Campaign Structure</t>
  </si>
  <si>
    <t xml:space="preserve">All 6 campaigns: targeting, bidding, budget %</t>
  </si>
  <si>
    <t xml:space="preserve">3. Ad Groups</t>
  </si>
  <si>
    <t xml:space="preserve">Ad group breakdown within each campaign</t>
  </si>
  <si>
    <t xml:space="preserve">4. Keywords</t>
  </si>
  <si>
    <t xml:space="preserve">Full keyword list per ad group with match types</t>
  </si>
  <si>
    <t xml:space="preserve">5. Ad Copy (RSAs)</t>
  </si>
  <si>
    <t xml:space="preserve">Every headline, description, path — with character counts</t>
  </si>
  <si>
    <t xml:space="preserve">6. Negative Keywords</t>
  </si>
  <si>
    <t xml:space="preserve">Account-level and campaign-level negatives</t>
  </si>
  <si>
    <t xml:space="preserve">7. Budget &amp; Bidding</t>
  </si>
  <si>
    <t xml:space="preserve">Budget split, bidding strategy per campaign</t>
  </si>
  <si>
    <t xml:space="preserve">8. Sitelinks &amp; Assets</t>
  </si>
  <si>
    <t xml:space="preserve">Sitelinks, callouts, structured snippets</t>
  </si>
  <si>
    <t xml:space="preserve">9. 90-Day Roadmap</t>
  </si>
  <si>
    <t xml:space="preserve">Day-by-day launch and optimization plan</t>
  </si>
  <si>
    <t xml:space="preserve">Campaign Structure</t>
  </si>
  <si>
    <t xml:space="preserve">All 6 campaigns at a glance — targeting, bidding, budget allocation</t>
  </si>
  <si>
    <t xml:space="preserve">Campaign ID</t>
  </si>
  <si>
    <t xml:space="preserve">Campaign Name</t>
  </si>
  <si>
    <t xml:space="preserve">Type</t>
  </si>
  <si>
    <t xml:space="preserve">Geo Targeting</t>
  </si>
  <si>
    <t xml:space="preserve">Devices</t>
  </si>
  <si>
    <t xml:space="preserve">Bidding Strategy</t>
  </si>
  <si>
    <t xml:space="preserve">Budget %</t>
  </si>
  <si>
    <t xml:space="preserve">Monthly Budget</t>
  </si>
  <si>
    <t xml:space="preserve">Total Monthly Budget (USD):</t>
  </si>
  <si>
    <t xml:space="preserve">C1</t>
  </si>
  <si>
    <t xml:space="preserve">Yendos - Brand Defense</t>
  </si>
  <si>
    <t xml:space="preserve">Search</t>
  </si>
  <si>
    <t xml:space="preserve">All 8 markets</t>
  </si>
  <si>
    <t xml:space="preserve">All, Mobile +10%</t>
  </si>
  <si>
    <t xml:space="preserve">Maximize Conversions</t>
  </si>
  <si>
    <t xml:space="preserve">C2</t>
  </si>
  <si>
    <t xml:space="preserve">Yendos - Generic eSIM</t>
  </si>
  <si>
    <t xml:space="preserve">Mobile +20%</t>
  </si>
  <si>
    <t xml:space="preserve">C3</t>
  </si>
  <si>
    <t xml:space="preserve">Yendos - Tier 1 Destinations</t>
  </si>
  <si>
    <t xml:space="preserve">MX, AR, CL, CO, PE, UY, US Hispanic</t>
  </si>
  <si>
    <t xml:space="preserve">Mobile +25%</t>
  </si>
  <si>
    <t xml:space="preserve">C4</t>
  </si>
  <si>
    <t xml:space="preserve">Yendos - Tier 2 Destinations</t>
  </si>
  <si>
    <t xml:space="preserve">Manual CPC → Max Conv</t>
  </si>
  <si>
    <t xml:space="preserve">C5</t>
  </si>
  <si>
    <t xml:space="preserve">Yendos - Competitor Conquest</t>
  </si>
  <si>
    <t xml:space="preserve">Manual CPC</t>
  </si>
  <si>
    <t xml:space="preserve">C6</t>
  </si>
  <si>
    <t xml:space="preserve">Yendos - DSA Discovery</t>
  </si>
  <si>
    <t xml:space="preserve">Dynamic Search</t>
  </si>
  <si>
    <t xml:space="preserve">tCPA, low budget</t>
  </si>
  <si>
    <t xml:space="preserve">TOTAL</t>
  </si>
  <si>
    <t xml:space="preserve">Ad Group Structure</t>
  </si>
  <si>
    <t xml:space="preserve">Ad groups within each campaign — destination/intent themed</t>
  </si>
  <si>
    <t xml:space="preserve">Campaign</t>
  </si>
  <si>
    <t xml:space="preserve">Ad Group Name</t>
  </si>
  <si>
    <t xml:space="preserve">Theme/Intent</t>
  </si>
  <si>
    <t xml:space="preserve">Final URL</t>
  </si>
  <si>
    <t xml:space="preserve">Match Types</t>
  </si>
  <si>
    <t xml:space="preserve">AG1.1 - Brand Core</t>
  </si>
  <si>
    <t xml:space="preserve">Brand exact + variants</t>
  </si>
  <si>
    <t xml:space="preserve">https://www.yendos.com/es</t>
  </si>
  <si>
    <t xml:space="preserve">Exact, Phrase</t>
  </si>
  <si>
    <t xml:space="preserve">Includes misspellings</t>
  </si>
  <si>
    <t xml:space="preserve">AG2.1 - Generic eSIM Travel</t>
  </si>
  <si>
    <t xml:space="preserve">Top-of-funnel category</t>
  </si>
  <si>
    <t xml:space="preserve">Phrase, Exact</t>
  </si>
  <si>
    <t xml:space="preserve">Broad category demand</t>
  </si>
  <si>
    <t xml:space="preserve">AG2.2 - Generic + Modifier (Ilimitada)</t>
  </si>
  <si>
    <t xml:space="preserve">Unlimited data intent</t>
  </si>
  <si>
    <t xml:space="preserve">Strong wedge vs Airalo</t>
  </si>
  <si>
    <t xml:space="preserve">AG2.3 - Generic + Modifier (Barata)</t>
  </si>
  <si>
    <t xml:space="preserve">Price-conscious intent</t>
  </si>
  <si>
    <t xml:space="preserve">Price-led shoppers</t>
  </si>
  <si>
    <t xml:space="preserve">AG3.1 - Estados Unidos</t>
  </si>
  <si>
    <t xml:space="preserve">USA destination</t>
  </si>
  <si>
    <t xml:space="preserve">https://www.yendos.com/es/destinos/estados-unidos</t>
  </si>
  <si>
    <t xml:space="preserve">Highest LATAM travel volume</t>
  </si>
  <si>
    <t xml:space="preserve">AG3.2 - Brasil</t>
  </si>
  <si>
    <t xml:space="preserve">Brazil destination</t>
  </si>
  <si>
    <t xml:space="preserve">https://www.yendos.com/es/destinos/brasil</t>
  </si>
  <si>
    <t xml:space="preserve">Add Pix payment angle</t>
  </si>
  <si>
    <t xml:space="preserve">AG3.3 - España</t>
  </si>
  <si>
    <t xml:space="preserve">Spain destination</t>
  </si>
  <si>
    <t xml:space="preserve">https://www.yendos.com/es/destinos/espana</t>
  </si>
  <si>
    <t xml:space="preserve">Tourism + family visits</t>
  </si>
  <si>
    <t xml:space="preserve">AG3.4 - México</t>
  </si>
  <si>
    <t xml:space="preserve">Mexico destination</t>
  </si>
  <si>
    <t xml:space="preserve">https://www.yendos.com/es/destinos/mexico</t>
  </si>
  <si>
    <t xml:space="preserve">Inbound LATAM tourism</t>
  </si>
  <si>
    <t xml:space="preserve">AG4.1 - Argentina</t>
  </si>
  <si>
    <t xml:space="preserve">Argentina destination</t>
  </si>
  <si>
    <t xml:space="preserve">https://www.yendos.com/es/destinos/argentina</t>
  </si>
  <si>
    <t xml:space="preserve">AG4.2 - Chile</t>
  </si>
  <si>
    <t xml:space="preserve">Chile destination</t>
  </si>
  <si>
    <t xml:space="preserve">https://www.yendos.com/es/destinos/chile</t>
  </si>
  <si>
    <t xml:space="preserve">AG4.3 - Colombia</t>
  </si>
  <si>
    <t xml:space="preserve">Colombia destination</t>
  </si>
  <si>
    <t xml:space="preserve">https://www.yendos.com/es/destinos/colombia</t>
  </si>
  <si>
    <t xml:space="preserve">AG4.4 - Perú</t>
  </si>
  <si>
    <t xml:space="preserve">Peru destination</t>
  </si>
  <si>
    <t xml:space="preserve">https://www.yendos.com/es/destinos/peru</t>
  </si>
  <si>
    <t xml:space="preserve">AG4.5 - Uruguay</t>
  </si>
  <si>
    <t xml:space="preserve">Uruguay destination</t>
  </si>
  <si>
    <t xml:space="preserve">https://www.yendos.com/es/destinos/uruguay</t>
  </si>
  <si>
    <t xml:space="preserve">AG4.6 - República Dominicana</t>
  </si>
  <si>
    <t xml:space="preserve">DR destination</t>
  </si>
  <si>
    <t xml:space="preserve">https://www.yendos.com/es/destinos/republica-dominicana</t>
  </si>
  <si>
    <t xml:space="preserve">Caribbean vacation traffic</t>
  </si>
  <si>
    <t xml:space="preserve">AG5.1 - Holafly Defectors</t>
  </si>
  <si>
    <t xml:space="preserve">Holafly + dissatisfaction</t>
  </si>
  <si>
    <t xml:space="preserve">https://www.yendos.com/es/comparar</t>
  </si>
  <si>
    <t xml:space="preserve">Phrase, Broad</t>
  </si>
  <si>
    <t xml:space="preserve">NO competitor names in ad copy</t>
  </si>
  <si>
    <t xml:space="preserve">AG5.2 - Airalo Defectors</t>
  </si>
  <si>
    <t xml:space="preserve">Airalo + Spanish/support</t>
  </si>
  <si>
    <t xml:space="preserve">AG6.1 - DSA All Destinations</t>
  </si>
  <si>
    <t xml:space="preserve">Auto-targeting destination pages</t>
  </si>
  <si>
    <t xml:space="preserve">Auto by Google</t>
  </si>
  <si>
    <t xml:space="preserve">Page Feed</t>
  </si>
  <si>
    <t xml:space="preserve">Page feed: /destinos/* URLs only</t>
  </si>
  <si>
    <t xml:space="preserve">Keyword Plan</t>
  </si>
  <si>
    <t xml:space="preserve">Keywords by campaign and ad group · match-type formatted for Google Ads Editor import</t>
  </si>
  <si>
    <t xml:space="preserve">Ad Group</t>
  </si>
  <si>
    <t xml:space="preserve">Keyword</t>
  </si>
  <si>
    <t xml:space="preserve">Match Type</t>
  </si>
  <si>
    <t xml:space="preserve">Google Ads Editor Format</t>
  </si>
  <si>
    <t xml:space="preserve">yendos</t>
  </si>
  <si>
    <t xml:space="preserve">Exact</t>
  </si>
  <si>
    <t xml:space="preserve">[yendos]</t>
  </si>
  <si>
    <t xml:space="preserve">yendos esim</t>
  </si>
  <si>
    <t xml:space="preserve">[yendos esim]</t>
  </si>
  <si>
    <t xml:space="preserve">Phrase</t>
  </si>
  <si>
    <t xml:space="preserve">"yendos esim"</t>
  </si>
  <si>
    <t xml:space="preserve">yendos.com</t>
  </si>
  <si>
    <t xml:space="preserve">[yendos.com]</t>
  </si>
  <si>
    <t xml:space="preserve">yendos opiniones</t>
  </si>
  <si>
    <t xml:space="preserve">"yendos opiniones"</t>
  </si>
  <si>
    <t xml:space="preserve">yendos reseñas</t>
  </si>
  <si>
    <t xml:space="preserve">"yendos reseñas"</t>
  </si>
  <si>
    <t xml:space="preserve">yendos mexico</t>
  </si>
  <si>
    <t xml:space="preserve">"yendos mexico"</t>
  </si>
  <si>
    <t xml:space="preserve">yendos argentina</t>
  </si>
  <si>
    <t xml:space="preserve">"yendos argentina"</t>
  </si>
  <si>
    <t xml:space="preserve">esim internacional</t>
  </si>
  <si>
    <t xml:space="preserve">[esim internacional]</t>
  </si>
  <si>
    <t xml:space="preserve">"esim internacional"</t>
  </si>
  <si>
    <t xml:space="preserve">esim para viajar</t>
  </si>
  <si>
    <t xml:space="preserve">[esim para viajar]</t>
  </si>
  <si>
    <t xml:space="preserve">"esim para viajar"</t>
  </si>
  <si>
    <t xml:space="preserve">esim viaje</t>
  </si>
  <si>
    <t xml:space="preserve">"esim viaje"</t>
  </si>
  <si>
    <t xml:space="preserve">esim turista</t>
  </si>
  <si>
    <t xml:space="preserve">"esim turista"</t>
  </si>
  <si>
    <t xml:space="preserve">chip internacional</t>
  </si>
  <si>
    <t xml:space="preserve">"chip internacional"</t>
  </si>
  <si>
    <t xml:space="preserve">internet en el extranjero</t>
  </si>
  <si>
    <t xml:space="preserve">"internet en el extranjero"</t>
  </si>
  <si>
    <t xml:space="preserve">evitar roaming</t>
  </si>
  <si>
    <t xml:space="preserve">"evitar roaming"</t>
  </si>
  <si>
    <t xml:space="preserve">esim ilimitada</t>
  </si>
  <si>
    <t xml:space="preserve">[esim ilimitada]</t>
  </si>
  <si>
    <t xml:space="preserve">esim datos ilimitados</t>
  </si>
  <si>
    <t xml:space="preserve">"esim datos ilimitados"</t>
  </si>
  <si>
    <t xml:space="preserve">esim sin limite de datos</t>
  </si>
  <si>
    <t xml:space="preserve">"esim sin limite de datos"</t>
  </si>
  <si>
    <t xml:space="preserve">internet ilimitado viaje</t>
  </si>
  <si>
    <t xml:space="preserve">"internet ilimitado viaje"</t>
  </si>
  <si>
    <t xml:space="preserve">esim barata</t>
  </si>
  <si>
    <t xml:space="preserve">[esim barata]</t>
  </si>
  <si>
    <t xml:space="preserve">esim economica</t>
  </si>
  <si>
    <t xml:space="preserve">"esim economica"</t>
  </si>
  <si>
    <t xml:space="preserve">esim mejor precio</t>
  </si>
  <si>
    <t xml:space="preserve">"esim mejor precio"</t>
  </si>
  <si>
    <t xml:space="preserve">esim oferta</t>
  </si>
  <si>
    <t xml:space="preserve">"esim oferta"</t>
  </si>
  <si>
    <t xml:space="preserve">esim estados unidos</t>
  </si>
  <si>
    <t xml:space="preserve">[esim estados unidos]</t>
  </si>
  <si>
    <t xml:space="preserve">esim usa</t>
  </si>
  <si>
    <t xml:space="preserve">[esim usa]</t>
  </si>
  <si>
    <t xml:space="preserve">esim para estados unidos</t>
  </si>
  <si>
    <t xml:space="preserve">"esim para estados unidos"</t>
  </si>
  <si>
    <t xml:space="preserve">internet en estados unidos</t>
  </si>
  <si>
    <t xml:space="preserve">"internet en estados unidos"</t>
  </si>
  <si>
    <t xml:space="preserve">datos para usa</t>
  </si>
  <si>
    <t xml:space="preserve">"datos para usa"</t>
  </si>
  <si>
    <t xml:space="preserve">esim miami</t>
  </si>
  <si>
    <t xml:space="preserve">"esim miami"</t>
  </si>
  <si>
    <t xml:space="preserve">esim nueva york</t>
  </si>
  <si>
    <t xml:space="preserve">"esim nueva york"</t>
  </si>
  <si>
    <t xml:space="preserve">esim orlando</t>
  </si>
  <si>
    <t xml:space="preserve">"esim orlando"</t>
  </si>
  <si>
    <t xml:space="preserve">esim los angeles</t>
  </si>
  <si>
    <t xml:space="preserve">"esim los angeles"</t>
  </si>
  <si>
    <t xml:space="preserve">chip para estados unidos</t>
  </si>
  <si>
    <t xml:space="preserve">"chip para estados unidos"</t>
  </si>
  <si>
    <t xml:space="preserve">esim brasil</t>
  </si>
  <si>
    <t xml:space="preserve">[esim brasil]</t>
  </si>
  <si>
    <t xml:space="preserve">esim para brasil</t>
  </si>
  <si>
    <t xml:space="preserve">"esim para brasil"</t>
  </si>
  <si>
    <t xml:space="preserve">internet en brasil</t>
  </si>
  <si>
    <t xml:space="preserve">"internet en brasil"</t>
  </si>
  <si>
    <t xml:space="preserve">datos para brasil</t>
  </si>
  <si>
    <t xml:space="preserve">"datos para brasil"</t>
  </si>
  <si>
    <t xml:space="preserve">esim rio de janeiro</t>
  </si>
  <si>
    <t xml:space="preserve">"esim rio de janeiro"</t>
  </si>
  <si>
    <t xml:space="preserve">esim sao paulo</t>
  </si>
  <si>
    <t xml:space="preserve">"esim sao paulo"</t>
  </si>
  <si>
    <t xml:space="preserve">chip brasil viaje</t>
  </si>
  <si>
    <t xml:space="preserve">"chip brasil viaje"</t>
  </si>
  <si>
    <t xml:space="preserve">esim espana</t>
  </si>
  <si>
    <t xml:space="preserve">[esim espana]</t>
  </si>
  <si>
    <t xml:space="preserve">esim para espana</t>
  </si>
  <si>
    <t xml:space="preserve">"esim para espana"</t>
  </si>
  <si>
    <t xml:space="preserve">internet en espana</t>
  </si>
  <si>
    <t xml:space="preserve">"internet en espana"</t>
  </si>
  <si>
    <t xml:space="preserve">datos para espana</t>
  </si>
  <si>
    <t xml:space="preserve">"datos para espana"</t>
  </si>
  <si>
    <t xml:space="preserve">esim madrid</t>
  </si>
  <si>
    <t xml:space="preserve">"esim madrid"</t>
  </si>
  <si>
    <t xml:space="preserve">esim barcelona</t>
  </si>
  <si>
    <t xml:space="preserve">"esim barcelona"</t>
  </si>
  <si>
    <t xml:space="preserve">chip espana viaje</t>
  </si>
  <si>
    <t xml:space="preserve">"chip espana viaje"</t>
  </si>
  <si>
    <t xml:space="preserve">esim mexico</t>
  </si>
  <si>
    <t xml:space="preserve">[esim mexico]</t>
  </si>
  <si>
    <t xml:space="preserve">esim para mexico</t>
  </si>
  <si>
    <t xml:space="preserve">"esim para mexico"</t>
  </si>
  <si>
    <t xml:space="preserve">internet en mexico</t>
  </si>
  <si>
    <t xml:space="preserve">"internet en mexico"</t>
  </si>
  <si>
    <t xml:space="preserve">datos para mexico</t>
  </si>
  <si>
    <t xml:space="preserve">"datos para mexico"</t>
  </si>
  <si>
    <t xml:space="preserve">esim cancun</t>
  </si>
  <si>
    <t xml:space="preserve">"esim cancun"</t>
  </si>
  <si>
    <t xml:space="preserve">esim cdmx</t>
  </si>
  <si>
    <t xml:space="preserve">"esim cdmx"</t>
  </si>
  <si>
    <t xml:space="preserve">esim playa del carmen</t>
  </si>
  <si>
    <t xml:space="preserve">"esim playa del carmen"</t>
  </si>
  <si>
    <t xml:space="preserve">esim tulum</t>
  </si>
  <si>
    <t xml:space="preserve">"esim tulum"</t>
  </si>
  <si>
    <t xml:space="preserve">esim argentina</t>
  </si>
  <si>
    <t xml:space="preserve">[esim argentina]</t>
  </si>
  <si>
    <t xml:space="preserve">esim para argentina</t>
  </si>
  <si>
    <t xml:space="preserve">"esim para argentina"</t>
  </si>
  <si>
    <t xml:space="preserve">internet en argentina</t>
  </si>
  <si>
    <t xml:space="preserve">"internet en argentina"</t>
  </si>
  <si>
    <t xml:space="preserve">esim buenos aires</t>
  </si>
  <si>
    <t xml:space="preserve">"esim buenos aires"</t>
  </si>
  <si>
    <t xml:space="preserve">datos para argentina</t>
  </si>
  <si>
    <t xml:space="preserve">"datos para argentina"</t>
  </si>
  <si>
    <t xml:space="preserve">esim chile</t>
  </si>
  <si>
    <t xml:space="preserve">[esim chile]</t>
  </si>
  <si>
    <t xml:space="preserve">esim para chile</t>
  </si>
  <si>
    <t xml:space="preserve">"esim para chile"</t>
  </si>
  <si>
    <t xml:space="preserve">internet en chile</t>
  </si>
  <si>
    <t xml:space="preserve">"internet en chile"</t>
  </si>
  <si>
    <t xml:space="preserve">esim santiago</t>
  </si>
  <si>
    <t xml:space="preserve">"esim santiago"</t>
  </si>
  <si>
    <t xml:space="preserve">esim colombia</t>
  </si>
  <si>
    <t xml:space="preserve">[esim colombia]</t>
  </si>
  <si>
    <t xml:space="preserve">esim para colombia</t>
  </si>
  <si>
    <t xml:space="preserve">"esim para colombia"</t>
  </si>
  <si>
    <t xml:space="preserve">internet en colombia</t>
  </si>
  <si>
    <t xml:space="preserve">"internet en colombia"</t>
  </si>
  <si>
    <t xml:space="preserve">datos para colombia</t>
  </si>
  <si>
    <t xml:space="preserve">"datos para colombia"</t>
  </si>
  <si>
    <t xml:space="preserve">esim bogota</t>
  </si>
  <si>
    <t xml:space="preserve">"esim bogota"</t>
  </si>
  <si>
    <t xml:space="preserve">esim cartagena</t>
  </si>
  <si>
    <t xml:space="preserve">"esim cartagena"</t>
  </si>
  <si>
    <t xml:space="preserve">esim medellin</t>
  </si>
  <si>
    <t xml:space="preserve">"esim medellin"</t>
  </si>
  <si>
    <t xml:space="preserve">esim peru</t>
  </si>
  <si>
    <t xml:space="preserve">[esim peru]</t>
  </si>
  <si>
    <t xml:space="preserve">esim para peru</t>
  </si>
  <si>
    <t xml:space="preserve">"esim para peru"</t>
  </si>
  <si>
    <t xml:space="preserve">internet en peru</t>
  </si>
  <si>
    <t xml:space="preserve">"internet en peru"</t>
  </si>
  <si>
    <t xml:space="preserve">esim lima</t>
  </si>
  <si>
    <t xml:space="preserve">"esim lima"</t>
  </si>
  <si>
    <t xml:space="preserve">esim cusco</t>
  </si>
  <si>
    <t xml:space="preserve">"esim cusco"</t>
  </si>
  <si>
    <t xml:space="preserve">esim uruguay</t>
  </si>
  <si>
    <t xml:space="preserve">[esim uruguay]</t>
  </si>
  <si>
    <t xml:space="preserve">esim para uruguay</t>
  </si>
  <si>
    <t xml:space="preserve">"esim para uruguay"</t>
  </si>
  <si>
    <t xml:space="preserve">internet en uruguay</t>
  </si>
  <si>
    <t xml:space="preserve">"internet en uruguay"</t>
  </si>
  <si>
    <t xml:space="preserve">esim punta del este</t>
  </si>
  <si>
    <t xml:space="preserve">"esim punta del este"</t>
  </si>
  <si>
    <t xml:space="preserve">esim republica dominicana</t>
  </si>
  <si>
    <t xml:space="preserve">[esim republica dominicana]</t>
  </si>
  <si>
    <t xml:space="preserve">esim punta cana</t>
  </si>
  <si>
    <t xml:space="preserve">"esim punta cana"</t>
  </si>
  <si>
    <t xml:space="preserve">internet en republica dominicana</t>
  </si>
  <si>
    <t xml:space="preserve">"internet en republica dominicana"</t>
  </si>
  <si>
    <t xml:space="preserve">holafly opiniones</t>
  </si>
  <si>
    <t xml:space="preserve">"holafly opiniones"</t>
  </si>
  <si>
    <t xml:space="preserve">holafly no funciona</t>
  </si>
  <si>
    <t xml:space="preserve">"holafly no funciona"</t>
  </si>
  <si>
    <t xml:space="preserve">holafly devolucion</t>
  </si>
  <si>
    <t xml:space="preserve">"holafly devolucion"</t>
  </si>
  <si>
    <t xml:space="preserve">holafly problemas</t>
  </si>
  <si>
    <t xml:space="preserve">"holafly problemas"</t>
  </si>
  <si>
    <t xml:space="preserve">alternativa holafly</t>
  </si>
  <si>
    <t xml:space="preserve">"alternativa holafly"</t>
  </si>
  <si>
    <t xml:space="preserve">mejor que holafly</t>
  </si>
  <si>
    <t xml:space="preserve">"mejor que holafly"</t>
  </si>
  <si>
    <t xml:space="preserve">airalo opiniones</t>
  </si>
  <si>
    <t xml:space="preserve">"airalo opiniones"</t>
  </si>
  <si>
    <t xml:space="preserve">airalo no funciona</t>
  </si>
  <si>
    <t xml:space="preserve">"airalo no funciona"</t>
  </si>
  <si>
    <t xml:space="preserve">airalo soporte espanol</t>
  </si>
  <si>
    <t xml:space="preserve">"airalo soporte espanol"</t>
  </si>
  <si>
    <t xml:space="preserve">airalo problemas</t>
  </si>
  <si>
    <t xml:space="preserve">"airalo problemas"</t>
  </si>
  <si>
    <t xml:space="preserve">alternativa airalo</t>
  </si>
  <si>
    <t xml:space="preserve">"alternativa airalo"</t>
  </si>
  <si>
    <t xml:space="preserve">mejor que airalo</t>
  </si>
  <si>
    <t xml:space="preserve">"mejor que airalo"</t>
  </si>
  <si>
    <t xml:space="preserve">[Auto-generated by Google from page feed]</t>
  </si>
  <si>
    <t xml:space="preserve">DSA</t>
  </si>
  <si>
    <t xml:space="preserve">—</t>
  </si>
  <si>
    <t xml:space="preserve">TOTAL KEYWORDS: 98</t>
  </si>
  <si>
    <t xml:space="preserve">Responsive Search Ad Copy</t>
  </si>
  <si>
    <t xml:space="preserve">Every headline (max 30 chars), description (max 90), path (max 15) — Google 2026 RSA specs</t>
  </si>
  <si>
    <t xml:space="preserve">Asset Type</t>
  </si>
  <si>
    <t xml:space="preserve">Asset Number</t>
  </si>
  <si>
    <t xml:space="preserve">Text</t>
  </si>
  <si>
    <t xml:space="preserve">Length</t>
  </si>
  <si>
    <t xml:space="preserve">Status</t>
  </si>
  <si>
    <t xml:space="preserve">C1 - Brand Defense</t>
  </si>
  <si>
    <t xml:space="preserve">Headline</t>
  </si>
  <si>
    <t xml:space="preserve">H1</t>
  </si>
  <si>
    <t xml:space="preserve">Yendos eSIM Oficial</t>
  </si>
  <si>
    <t xml:space="preserve">OK (19/30)</t>
  </si>
  <si>
    <t xml:space="preserve">H2</t>
  </si>
  <si>
    <t xml:space="preserve">Activación en Minutos</t>
  </si>
  <si>
    <t xml:space="preserve">OK (21/30)</t>
  </si>
  <si>
    <t xml:space="preserve">H3</t>
  </si>
  <si>
    <t xml:space="preserve">Soporte 24/7 en Español</t>
  </si>
  <si>
    <t xml:space="preserve">OK (23/30)</t>
  </si>
  <si>
    <t xml:space="preserve">H4</t>
  </si>
  <si>
    <t xml:space="preserve">160+ Países Cubiertos</t>
  </si>
  <si>
    <t xml:space="preserve">H5</t>
  </si>
  <si>
    <t xml:space="preserve">Sin Roaming, Sin Sorpresas</t>
  </si>
  <si>
    <t xml:space="preserve">OK (26/30)</t>
  </si>
  <si>
    <t xml:space="preserve">H6</t>
  </si>
  <si>
    <t xml:space="preserve">Mejor Precio Garantizado</t>
  </si>
  <si>
    <t xml:space="preserve">OK (24/30)</t>
  </si>
  <si>
    <t xml:space="preserve">H7</t>
  </si>
  <si>
    <t xml:space="preserve">Compra Directo de Yendos</t>
  </si>
  <si>
    <t xml:space="preserve">H8</t>
  </si>
  <si>
    <t xml:space="preserve">Pago Seguro y Rápido</t>
  </si>
  <si>
    <t xml:space="preserve">OK (20/30)</t>
  </si>
  <si>
    <t xml:space="preserve">Description</t>
  </si>
  <si>
    <t xml:space="preserve">D1</t>
  </si>
  <si>
    <t xml:space="preserve">Compra tu eSIM directamente en Yendos. Sin intermediarios, activación inmediata.</t>
  </si>
  <si>
    <t xml:space="preserve">OK (80/90)</t>
  </si>
  <si>
    <t xml:space="preserve">D2</t>
  </si>
  <si>
    <t xml:space="preserve">Mejor cobertura, soporte humano en español y pago seguro. Empieza tu viaje conectado.</t>
  </si>
  <si>
    <t xml:space="preserve">OK (85/90)</t>
  </si>
  <si>
    <t xml:space="preserve">D3</t>
  </si>
  <si>
    <t xml:space="preserve">160+ países. Datos rápidos. Hotspot incluido. Sin contratos. Activa tu eSIM en 2 minutos.</t>
  </si>
  <si>
    <t xml:space="preserve">OK (89/90)</t>
  </si>
  <si>
    <t xml:space="preserve">D4</t>
  </si>
  <si>
    <t xml:space="preserve">La eSIM oficial de Yendos. Soporte 24/7, devolución garantizada y precios transparentes.</t>
  </si>
  <si>
    <t xml:space="preserve">OK (88/90)</t>
  </si>
  <si>
    <t xml:space="preserve">Path</t>
  </si>
  <si>
    <t xml:space="preserve">P1</t>
  </si>
  <si>
    <t xml:space="preserve">esim</t>
  </si>
  <si>
    <t xml:space="preserve">OK (4/15)</t>
  </si>
  <si>
    <t xml:space="preserve">P2</t>
  </si>
  <si>
    <t xml:space="preserve">oficial</t>
  </si>
  <si>
    <t xml:space="preserve">OK (7/15)</t>
  </si>
  <si>
    <t xml:space="preserve">C2 - Generic eSIM</t>
  </si>
  <si>
    <t xml:space="preserve">eSIM para Viajar</t>
  </si>
  <si>
    <t xml:space="preserve">OK (16/30)</t>
  </si>
  <si>
    <t xml:space="preserve">160+ Países en Minutos</t>
  </si>
  <si>
    <t xml:space="preserve">OK (22/30)</t>
  </si>
  <si>
    <t xml:space="preserve">Sin Roaming, Sin Chip Físico</t>
  </si>
  <si>
    <t xml:space="preserve">OK (28/30)</t>
  </si>
  <si>
    <t xml:space="preserve">Activa Antes de tu Vuelo</t>
  </si>
  <si>
    <t xml:space="preserve">Datos Rápidos en el Mundo</t>
  </si>
  <si>
    <t xml:space="preserve">OK (25/30)</t>
  </si>
  <si>
    <t xml:space="preserve">Olvídate del Roaming</t>
  </si>
  <si>
    <t xml:space="preserve">Mejor eSIM para Viajeros</t>
  </si>
  <si>
    <t xml:space="preserve">Olvídate del roaming. Conéctate apenas aterrices con la eSIM de Yendos.</t>
  </si>
  <si>
    <t xml:space="preserve">OK (71/90)</t>
  </si>
  <si>
    <t xml:space="preserve">Datos a alta velocidad, hotspot incluido y pago seguro. Compra y viaja conectado.</t>
  </si>
  <si>
    <t xml:space="preserve">OK (81/90)</t>
  </si>
  <si>
    <t xml:space="preserve">Compatible con iPhone y Android. Activación inmediata. Soporte humano en español.</t>
  </si>
  <si>
    <t xml:space="preserve">160+ países cubiertos. Sin contratos, sin sorpresas. Devolución garantizada.</t>
  </si>
  <si>
    <t xml:space="preserve">OK (76/90)</t>
  </si>
  <si>
    <t xml:space="preserve">viaje</t>
  </si>
  <si>
    <t xml:space="preserve">OK (5/15)</t>
  </si>
  <si>
    <t xml:space="preserve">C3 - Tier 1 (España example)</t>
  </si>
  <si>
    <t xml:space="preserve">eSIM para España</t>
  </si>
  <si>
    <t xml:space="preserve">Internet en Madrid y BCN</t>
  </si>
  <si>
    <t xml:space="preserve">Datos Ilimitados España</t>
  </si>
  <si>
    <t xml:space="preserve">Cobertura en Toda España</t>
  </si>
  <si>
    <t xml:space="preserve">eSIM España Desde 1 Día</t>
  </si>
  <si>
    <t xml:space="preserve">Sin Roaming en Europa</t>
  </si>
  <si>
    <t xml:space="preserve">Viajas a España? Conéctate apenas aterrices. eSIM con datos rápidos y hotspot.</t>
  </si>
  <si>
    <t xml:space="preserve">OK (78/90)</t>
  </si>
  <si>
    <t xml:space="preserve">Cobertura en toda España. Sin roaming. Instala el QR en 2 minutos. Pago seguro.</t>
  </si>
  <si>
    <t xml:space="preserve">OK (79/90)</t>
  </si>
  <si>
    <t xml:space="preserve">Planes desde 1 día hasta 30 días. Compatible con iPhone y Android. Soporte 24/7.</t>
  </si>
  <si>
    <t xml:space="preserve">Datos a alta velocidad en Madrid, Barcelona, Sevilla y todo el país.</t>
  </si>
  <si>
    <t xml:space="preserve">OK (68/90)</t>
  </si>
  <si>
    <t xml:space="preserve">espana</t>
  </si>
  <si>
    <t xml:space="preserve">OK (6/15)</t>
  </si>
  <si>
    <t xml:space="preserve">C4 - Tier 2 (Colombia example)</t>
  </si>
  <si>
    <t xml:space="preserve">eSIM para Colombia</t>
  </si>
  <si>
    <t xml:space="preserve">OK (18/30)</t>
  </si>
  <si>
    <t xml:space="preserve">Funciona en Bogotá y Medellín</t>
  </si>
  <si>
    <t xml:space="preserve">OK (29/30)</t>
  </si>
  <si>
    <t xml:space="preserve">Lista en Minutos</t>
  </si>
  <si>
    <t xml:space="preserve">Planes Desde 1 Día</t>
  </si>
  <si>
    <t xml:space="preserve">Datos Rápidos en Colombia</t>
  </si>
  <si>
    <t xml:space="preserve">eSIM Compatible iPhone</t>
  </si>
  <si>
    <t xml:space="preserve">Sin Roaming en Colombia</t>
  </si>
  <si>
    <t xml:space="preserve">Viajas a Colombia? Activa tu eSIM antes de salir y conéctate al aterrizar.</t>
  </si>
  <si>
    <t xml:space="preserve">OK (74/90)</t>
  </si>
  <si>
    <t xml:space="preserve">Compatible con iPhone y Android. Pago con tarjeta o Mercado Pago. Sin roaming.</t>
  </si>
  <si>
    <t xml:space="preserve">Cobertura en Bogotá, Medellín, Cartagena y todo Colombia. Soporte humano 24/7.</t>
  </si>
  <si>
    <t xml:space="preserve">Planes desde 1 día. Datos rápidos. Hotspot incluido. Devolución garantizada.</t>
  </si>
  <si>
    <t xml:space="preserve">colombia</t>
  </si>
  <si>
    <t xml:space="preserve">OK (8/15)</t>
  </si>
  <si>
    <t xml:space="preserve">C5 - Competitor Conquest</t>
  </si>
  <si>
    <t xml:space="preserve">Buscas una eSIM Confiable?</t>
  </si>
  <si>
    <t xml:space="preserve">Datos Rápidos + Soporte Real</t>
  </si>
  <si>
    <t xml:space="preserve">Sin Throttling, Sin Sorpresas</t>
  </si>
  <si>
    <t xml:space="preserve">Garantía de Devolución</t>
  </si>
  <si>
    <t xml:space="preserve">Soporte Humano en Español</t>
  </si>
  <si>
    <t xml:space="preserve">La eSIM Que Sí Funciona</t>
  </si>
  <si>
    <t xml:space="preserve">Mejor Cobertura Garantizada</t>
  </si>
  <si>
    <t xml:space="preserve">OK (27/30)</t>
  </si>
  <si>
    <t xml:space="preserve">Compara y Decide</t>
  </si>
  <si>
    <t xml:space="preserve">La eSIM que sí responde cuando la necesitas. Soporte 24/7 e instalación simple.</t>
  </si>
  <si>
    <t xml:space="preserve">160+ países. Activación en minutos. Devolución garantizada si no funciona.</t>
  </si>
  <si>
    <t xml:space="preserve">Soporte humano en español, pago seguro y precios transparentes. Sin sorpresas.</t>
  </si>
  <si>
    <t xml:space="preserve">Datos rápidos sin throttling. Hotspot incluido. Compatible iPhone y Android.</t>
  </si>
  <si>
    <t xml:space="preserve">comparar</t>
  </si>
  <si>
    <t xml:space="preserve">C6 - DSA</t>
  </si>
  <si>
    <t xml:space="preserve">[Auto-generated by Google from destination page H1 and content]</t>
  </si>
  <si>
    <t xml:space="preserve">N/A (DSA)</t>
  </si>
  <si>
    <t xml:space="preserve">Activa tu eSIM en minutos y olvídate del roaming. 160+ países, soporte en español.</t>
  </si>
  <si>
    <t xml:space="preserve">OK (82/90)</t>
  </si>
  <si>
    <t xml:space="preserve">Sin contratos. Sin chip físico. Pago seguro. Empieza tu viaje conectado con Yendos.</t>
  </si>
  <si>
    <t xml:space="preserve">OK (83/90)</t>
  </si>
  <si>
    <t xml:space="preserve">destinos</t>
  </si>
  <si>
    <t xml:space="preserve">Negative Keywords</t>
  </si>
  <si>
    <t xml:space="preserve">Account-level and campaign-specific negatives — apply at launch</t>
  </si>
  <si>
    <t xml:space="preserve">Scope</t>
  </si>
  <si>
    <t xml:space="preserve">Negative Keyword</t>
  </si>
  <si>
    <t xml:space="preserve">Reason</t>
  </si>
  <si>
    <t xml:space="preserve">Account</t>
  </si>
  <si>
    <t xml:space="preserve">iphone 6</t>
  </si>
  <si>
    <t xml:space="preserve">Pre-eSIM iPhone, not compatible</t>
  </si>
  <si>
    <t xml:space="preserve">iphone 7</t>
  </si>
  <si>
    <t xml:space="preserve">iphone 8</t>
  </si>
  <si>
    <t xml:space="preserve">iphone 5</t>
  </si>
  <si>
    <t xml:space="preserve">iphone 4</t>
  </si>
  <si>
    <t xml:space="preserve">iphone se 1</t>
  </si>
  <si>
    <t xml:space="preserve">1st gen SE no eSIM</t>
  </si>
  <si>
    <t xml:space="preserve">iphone se 2016</t>
  </si>
  <si>
    <t xml:space="preserve">huawei</t>
  </si>
  <si>
    <t xml:space="preserve">Most Huawei post-2019 no Google services / spotty eSIM</t>
  </si>
  <si>
    <t xml:space="preserve">celular antiguo</t>
  </si>
  <si>
    <t xml:space="preserve">Likely incompatible device</t>
  </si>
  <si>
    <t xml:space="preserve">celular viejo</t>
  </si>
  <si>
    <t xml:space="preserve">telefono viejo</t>
  </si>
  <si>
    <t xml:space="preserve">gratis</t>
  </si>
  <si>
    <t xml:space="preserve">Broad</t>
  </si>
  <si>
    <t xml:space="preserve">Free intent, not buyer</t>
  </si>
  <si>
    <t xml:space="preserve">free</t>
  </si>
  <si>
    <t xml:space="preserve">hackear</t>
  </si>
  <si>
    <t xml:space="preserve">Illegal intent</t>
  </si>
  <si>
    <t xml:space="preserve">crackeado</t>
  </si>
  <si>
    <t xml:space="preserve">ilegal</t>
  </si>
  <si>
    <t xml:space="preserve">trabajo</t>
  </si>
  <si>
    <t xml:space="preserve">Job seekers, not customers</t>
  </si>
  <si>
    <t xml:space="preserve">empleo</t>
  </si>
  <si>
    <t xml:space="preserve">Job seekers</t>
  </si>
  <si>
    <t xml:space="preserve">vacante</t>
  </si>
  <si>
    <t xml:space="preserve">recarga claro</t>
  </si>
  <si>
    <t xml:space="preserve">Local prepaid recharge, not travel eSIM</t>
  </si>
  <si>
    <t xml:space="preserve">recarga movistar</t>
  </si>
  <si>
    <t xml:space="preserve">Local prepaid recharge</t>
  </si>
  <si>
    <t xml:space="preserve">recarga telcel</t>
  </si>
  <si>
    <t xml:space="preserve">recarga personal</t>
  </si>
  <si>
    <t xml:space="preserve">que es esim</t>
  </si>
  <si>
    <t xml:space="preserve">Informational only — exclude unless running education funnel</t>
  </si>
  <si>
    <t xml:space="preserve">como funciona esim</t>
  </si>
  <si>
    <t xml:space="preserve">Informational only</t>
  </si>
  <si>
    <t xml:space="preserve">como configurar esim</t>
  </si>
  <si>
    <t xml:space="preserve">Informational only / post-purchase</t>
  </si>
  <si>
    <t xml:space="preserve">esim wikipedia</t>
  </si>
  <si>
    <t xml:space="preserve">Reference query</t>
  </si>
  <si>
    <t xml:space="preserve">samsung galaxy s4</t>
  </si>
  <si>
    <t xml:space="preserve">Old Samsung, no eSIM</t>
  </si>
  <si>
    <t xml:space="preserve">j7</t>
  </si>
  <si>
    <t xml:space="preserve">Samsung J7 no eSIM</t>
  </si>
  <si>
    <t xml:space="preserve">moto g4</t>
  </si>
  <si>
    <t xml:space="preserve">Old Moto, no eSIM</t>
  </si>
  <si>
    <t xml:space="preserve">C5 - Competitor</t>
  </si>
  <si>
    <t xml:space="preserve">holafly login</t>
  </si>
  <si>
    <t xml:space="preserve">Existing customer login intent, not a defector</t>
  </si>
  <si>
    <t xml:space="preserve">holafly app</t>
  </si>
  <si>
    <t xml:space="preserve">Existing customer</t>
  </si>
  <si>
    <t xml:space="preserve">airalo login</t>
  </si>
  <si>
    <t xml:space="preserve">airalo app</t>
  </si>
  <si>
    <t xml:space="preserve">C2 - Generic</t>
  </si>
  <si>
    <t xml:space="preserve">esim local</t>
  </si>
  <si>
    <t xml:space="preserve">Local resident eSIM, not travel — different product</t>
  </si>
  <si>
    <t xml:space="preserve">esim prepago nacional</t>
  </si>
  <si>
    <t xml:space="preserve">Local resident eSIM</t>
  </si>
  <si>
    <t xml:space="preserve">C3 / C4 - Destinations</t>
  </si>
  <si>
    <t xml:space="preserve">esim para residentes</t>
  </si>
  <si>
    <t xml:space="preserve">Resident product, not travel</t>
  </si>
  <si>
    <t xml:space="preserve">linea movil residente</t>
  </si>
  <si>
    <t xml:space="preserve">Budget &amp; Bidding Strategy</t>
  </si>
  <si>
    <t xml:space="preserve">Per-campaign budget allocation, target CPCs, and bidding evolution</t>
  </si>
  <si>
    <t xml:space="preserve">← Yellow cells are inputs. Change here to recalculate all budgets.</t>
  </si>
  <si>
    <t xml:space="preserve">Daily Budget</t>
  </si>
  <si>
    <t xml:space="preserve">Starting Bid Strategy</t>
  </si>
  <si>
    <t xml:space="preserve">Switch To (Day 30+)</t>
  </si>
  <si>
    <t xml:space="preserve">Maximize Conversions (no change)</t>
  </si>
  <si>
    <t xml:space="preserve">Always-on, lowest CPA</t>
  </si>
  <si>
    <t xml:space="preserve">tCPA after 30 conversions</t>
  </si>
  <si>
    <t xml:space="preserve">Educational + category demand</t>
  </si>
  <si>
    <t xml:space="preserve">C3 - Tier 1 Destinations</t>
  </si>
  <si>
    <t xml:space="preserve">tCPA after 50 conversions</t>
  </si>
  <si>
    <t xml:space="preserve">Highest revenue driver</t>
  </si>
  <si>
    <t xml:space="preserve">C4 - Tier 2 Destinations</t>
  </si>
  <si>
    <t xml:space="preserve">Mix of conversion volume + ROAS</t>
  </si>
  <si>
    <t xml:space="preserve">Manual CPC (do not switch)</t>
  </si>
  <si>
    <t xml:space="preserve">Keep visible to control quality + cost</t>
  </si>
  <si>
    <t xml:space="preserve">C6 - DSA Discovery</t>
  </si>
  <si>
    <t xml:space="preserve">tCPA</t>
  </si>
  <si>
    <t xml:space="preserve">tCPA (refine target)</t>
  </si>
  <si>
    <t xml:space="preserve">Discovery only, mine search terms weekly</t>
  </si>
  <si>
    <t xml:space="preserve">Target CPC Benchmarks (Spanish-speaking LATAM)</t>
  </si>
  <si>
    <t xml:space="preserve">Keyword Type</t>
  </si>
  <si>
    <t xml:space="preserve">Expected CPC (USD)</t>
  </si>
  <si>
    <t xml:space="preserve">Brand keywords (yendos)</t>
  </si>
  <si>
    <t xml:space="preserve">$0.05 - $0.20</t>
  </si>
  <si>
    <t xml:space="preserve">Cheapest CPA in account</t>
  </si>
  <si>
    <t xml:space="preserve">Generic eSIM (esim para viajar)</t>
  </si>
  <si>
    <t xml:space="preserve">$0.40 - $0.80</t>
  </si>
  <si>
    <t xml:space="preserve">High intent, growing competition</t>
  </si>
  <si>
    <t xml:space="preserve">Tier 1 destination (esim españa)</t>
  </si>
  <si>
    <t xml:space="preserve">$0.50 - $1.20</t>
  </si>
  <si>
    <t xml:space="preserve">Highest commercial intent</t>
  </si>
  <si>
    <t xml:space="preserve">Tier 2 destination (esim peru)</t>
  </si>
  <si>
    <t xml:space="preserve">$0.30 - $0.70</t>
  </si>
  <si>
    <t xml:space="preserve">Lower competition</t>
  </si>
  <si>
    <t xml:space="preserve">Competitor terms (holafly)</t>
  </si>
  <si>
    <t xml:space="preserve">$0.80 - $2.50</t>
  </si>
  <si>
    <t xml:space="preserve">Holafly bids defensively, expect inflation</t>
  </si>
  <si>
    <t xml:space="preserve">Long-tail city (esim cancún)</t>
  </si>
  <si>
    <t xml:space="preserve">$0.20 - $0.50</t>
  </si>
  <si>
    <t xml:space="preserve">Lowest CPC, high intent</t>
  </si>
  <si>
    <t xml:space="preserve">Panic/arrival (datos urgente)</t>
  </si>
  <si>
    <t xml:space="preserve">$1.50 - $3.50</t>
  </si>
  <si>
    <t xml:space="preserve">Highest CPC, highest conversion rate</t>
  </si>
  <si>
    <t xml:space="preserve">Ad Extensions &amp; Assets</t>
  </si>
  <si>
    <t xml:space="preserve">Sitelinks (25 char title + 35 char each desc), Callouts (25 char), Structured Snippets, Promotion</t>
  </si>
  <si>
    <t xml:space="preserve">Sitelinks (Account-Level)</t>
  </si>
  <si>
    <t xml:space="preserve">Sitelink Title (25)</t>
  </si>
  <si>
    <t xml:space="preserve">Title Length</t>
  </si>
  <si>
    <t xml:space="preserve">Description 1 (35)</t>
  </si>
  <si>
    <t xml:space="preserve">Description 2 (35)</t>
  </si>
  <si>
    <t xml:space="preserve">Ver Todos los Destinos</t>
  </si>
  <si>
    <t xml:space="preserve">160+ países cubiertos</t>
  </si>
  <si>
    <t xml:space="preserve">Activación inmediata</t>
  </si>
  <si>
    <t xml:space="preserve">https://www.yendos.com/es/todos-los-destinos</t>
  </si>
  <si>
    <t xml:space="preserve">Cómo Funciona la eSIM</t>
  </si>
  <si>
    <t xml:space="preserve">Guía paso a paso</t>
  </si>
  <si>
    <t xml:space="preserve">Instala en 2 minutos</t>
  </si>
  <si>
    <t xml:space="preserve">https://www.yendos.com/es/que-es-una-esim</t>
  </si>
  <si>
    <t xml:space="preserve">Preguntas Frecuentes</t>
  </si>
  <si>
    <t xml:space="preserve">Resolvemos tus dudas</t>
  </si>
  <si>
    <t xml:space="preserve">Soporte 24/7 español</t>
  </si>
  <si>
    <t xml:space="preserve">https://www.yendos.com/es/preguntas-frecuentes</t>
  </si>
  <si>
    <t xml:space="preserve">Compatible iPhone/Android</t>
  </si>
  <si>
    <t xml:space="preserve">Verifica tu modelo</t>
  </si>
  <si>
    <t xml:space="preserve">Compatibilidad fácil</t>
  </si>
  <si>
    <t xml:space="preserve">https://www.yendos.com/es/compatibilidad</t>
  </si>
  <si>
    <t xml:space="preserve">Soporte 24/7</t>
  </si>
  <si>
    <t xml:space="preserve">Atención humana real</t>
  </si>
  <si>
    <t xml:space="preserve">Chat y WhatsApp</t>
  </si>
  <si>
    <t xml:space="preserve">https://www.yendos.com/es/soporte</t>
  </si>
  <si>
    <t xml:space="preserve">eSIM Estados Unidos</t>
  </si>
  <si>
    <t xml:space="preserve">Datos rápidos en USA</t>
  </si>
  <si>
    <t xml:space="preserve">Cobertura nacional</t>
  </si>
  <si>
    <t xml:space="preserve">eSIM Europa</t>
  </si>
  <si>
    <t xml:space="preserve">Cubre toda Europa</t>
  </si>
  <si>
    <t xml:space="preserve">Sin roaming UE</t>
  </si>
  <si>
    <t xml:space="preserve">https://www.yendos.com/es/destinos/europa</t>
  </si>
  <si>
    <t xml:space="preserve">Garantía y Devolución</t>
  </si>
  <si>
    <t xml:space="preserve">100% satisfacción</t>
  </si>
  <si>
    <t xml:space="preserve">Devolución si falla</t>
  </si>
  <si>
    <t xml:space="preserve">https://www.yendos.com/es/garantia</t>
  </si>
  <si>
    <t xml:space="preserve">Callout Extensions (max 25 chars each)</t>
  </si>
  <si>
    <t xml:space="preserve">Callout Text</t>
  </si>
  <si>
    <t xml:space="preserve">Activación en 2 minutos</t>
  </si>
  <si>
    <t xml:space="preserve">OK (23/25)</t>
  </si>
  <si>
    <t xml:space="preserve">Soporte 24/7 en español</t>
  </si>
  <si>
    <t xml:space="preserve">OK (21/25)</t>
  </si>
  <si>
    <t xml:space="preserve">Sin contratos</t>
  </si>
  <si>
    <t xml:space="preserve">OK (13/25)</t>
  </si>
  <si>
    <t xml:space="preserve">Sin roaming</t>
  </si>
  <si>
    <t xml:space="preserve">OK (11/25)</t>
  </si>
  <si>
    <t xml:space="preserve">Pago seguro</t>
  </si>
  <si>
    <t xml:space="preserve">Hotspot incluido</t>
  </si>
  <si>
    <t xml:space="preserve">OK (16/25)</t>
  </si>
  <si>
    <t xml:space="preserve">Datos a alta velocidad</t>
  </si>
  <si>
    <t xml:space="preserve">OK (22/25)</t>
  </si>
  <si>
    <t xml:space="preserve">Compatible iPhone y Android</t>
  </si>
  <si>
    <t xml:space="preserve">OVER (27/25)</t>
  </si>
  <si>
    <t xml:space="preserve">Devolución garantizada</t>
  </si>
  <si>
    <t xml:space="preserve">Structured Snippets (max 25 chars per value)</t>
  </si>
  <si>
    <t xml:space="preserve">Header</t>
  </si>
  <si>
    <t xml:space="preserve">Values (comma separated)</t>
  </si>
  <si>
    <t xml:space="preserve">Destinos</t>
  </si>
  <si>
    <t xml:space="preserve">Estados Unidos, España, Brasil, México, Argentina, Chile, Colombia, Perú</t>
  </si>
  <si>
    <t xml:space="preserve">Servicios</t>
  </si>
  <si>
    <t xml:space="preserve">eSIM 1 día, eSIM 7 días, eSIM 15 días, eSIM 30 días, Datos ilimitados</t>
  </si>
  <si>
    <t xml:space="preserve">Marcas</t>
  </si>
  <si>
    <t xml:space="preserve">Compatible iPhone, Compatible Android, Compatible iPad</t>
  </si>
  <si>
    <t xml:space="preserve">90-Day Launch &amp; Optimization Roadmap</t>
  </si>
  <si>
    <t xml:space="preserve">Week-by-week execution plan</t>
  </si>
  <si>
    <t xml:space="preserve">Phase</t>
  </si>
  <si>
    <t xml:space="preserve">Day / Week</t>
  </si>
  <si>
    <t xml:space="preserve">Action</t>
  </si>
  <si>
    <t xml:space="preserve">Owner / Notes</t>
  </si>
  <si>
    <t xml:space="preserve">Pre-launch</t>
  </si>
  <si>
    <t xml:space="preserve">Day -7 to -1</t>
  </si>
  <si>
    <t xml:space="preserve">Confirm yendos.com URL structure for destination pages (/destinos/[country] vs other)</t>
  </si>
  <si>
    <t xml:space="preserve">Verify in CMS</t>
  </si>
  <si>
    <t xml:space="preserve">Install Enhanced Conversions for Web (hashed email at checkout)</t>
  </si>
  <si>
    <t xml:space="preserve">Critical — do not launch without</t>
  </si>
  <si>
    <t xml:space="preserve">Set up Google Ads conversion via existing GTM (GTM-MB6TN2BX already on site)</t>
  </si>
  <si>
    <t xml:space="preserve">Day -3 to -1</t>
  </si>
  <si>
    <t xml:space="preserve">Set up offline conversion upload pipeline for repeat buyers</t>
  </si>
  <si>
    <t xml:space="preserve">Schedule weekly upload</t>
  </si>
  <si>
    <t xml:space="preserve">Create 8 sitelinks, 10 callouts, 3 structured snippet sets</t>
  </si>
  <si>
    <t xml:space="preserve">See Sitelinks sheet</t>
  </si>
  <si>
    <t xml:space="preserve">Confirm payment methods supported (Pix, Mercado Pago, etc.) before mentioning in ad copy</t>
  </si>
  <si>
    <t xml:space="preserve">Avoid promising what's not at checkout</t>
  </si>
  <si>
    <t xml:space="preserve">Phase 1 Launch</t>
  </si>
  <si>
    <t xml:space="preserve">Day 1</t>
  </si>
  <si>
    <t xml:space="preserve">Launch C1 (Brand) + C3 (Tier 1) + C5 (Competitor)</t>
  </si>
  <si>
    <t xml:space="preserve">Highest priority campaigns</t>
  </si>
  <si>
    <t xml:space="preserve">Apply all account-level negative keywords</t>
  </si>
  <si>
    <t xml:space="preserve">See Negative Keywords sheet</t>
  </si>
  <si>
    <t xml:space="preserve">Day 2-3</t>
  </si>
  <si>
    <t xml:space="preserve">Confirm conversion firing correctly in all 3 campaigns</t>
  </si>
  <si>
    <t xml:space="preserve">Test purchase yourself</t>
  </si>
  <si>
    <t xml:space="preserve">Day 3-7</t>
  </si>
  <si>
    <t xml:space="preserve">Daily search terms review for Brand and Competitor campaigns</t>
  </si>
  <si>
    <t xml:space="preserve">Block irrelevant terms early</t>
  </si>
  <si>
    <t xml:space="preserve">Phase 2 Launch</t>
  </si>
  <si>
    <t xml:space="preserve">Day 14</t>
  </si>
  <si>
    <t xml:space="preserve">Launch C2 (Generic) + C4 (Tier 2) + C6 (DSA)</t>
  </si>
  <si>
    <t xml:space="preserve">Add complementary campaigns</t>
  </si>
  <si>
    <t xml:space="preserve">Day 14-21</t>
  </si>
  <si>
    <t xml:space="preserve">Daily monitoring of search terms across all 6 campaigns</t>
  </si>
  <si>
    <t xml:space="preserve">Negative keyword pruning</t>
  </si>
  <si>
    <t xml:space="preserve">Optimization</t>
  </si>
  <si>
    <t xml:space="preserve">Day 21-30</t>
  </si>
  <si>
    <t xml:space="preserve">Pause keywords with 0 conversions and &gt;100 clicks</t>
  </si>
  <si>
    <t xml:space="preserve">Cut losses early</t>
  </si>
  <si>
    <t xml:space="preserve">Day 30</t>
  </si>
  <si>
    <t xml:space="preserve">Switch C2 + C3 to tCPA bidding (target = blended CPA × 1.0)</t>
  </si>
  <si>
    <t xml:space="preserve">Requires 30+ conversions per campaign</t>
  </si>
  <si>
    <t xml:space="preserve">Switch C4 to Maximize Conversions if conversion volume allows</t>
  </si>
  <si>
    <t xml:space="preserve">Day 30-45</t>
  </si>
  <si>
    <t xml:space="preserve">Review device performance, adjust mobile bid +/- as data shows</t>
  </si>
  <si>
    <t xml:space="preserve">Review hour-of-day performance, set bid schedules</t>
  </si>
  <si>
    <t xml:space="preserve">Bump evenings if conversion rate higher</t>
  </si>
  <si>
    <t xml:space="preserve">Day 45</t>
  </si>
  <si>
    <t xml:space="preserve">Review geo performance, increase bids in top metros (CDMX, BA, Santiago, etc.)</t>
  </si>
  <si>
    <t xml:space="preserve">+25-40% in top zones</t>
  </si>
  <si>
    <t xml:space="preserve">Day 45-60</t>
  </si>
  <si>
    <t xml:space="preserve">Promote DSA-discovered winners to Exact in C3/C4 ad groups</t>
  </si>
  <si>
    <t xml:space="preserve">Demote losers to negatives</t>
  </si>
  <si>
    <t xml:space="preserve">Scale</t>
  </si>
  <si>
    <t xml:space="preserve">Day 60</t>
  </si>
  <si>
    <t xml:space="preserve">Review and update destination Tier 1/2 budget split based on ROAS</t>
  </si>
  <si>
    <t xml:space="preserve">Reallocate to highest ROAS destinations</t>
  </si>
  <si>
    <t xml:space="preserve">Add audience layers: in-market travel, custom intent (flight bookers)</t>
  </si>
  <si>
    <t xml:space="preserve">Bid +20-40% on observation</t>
  </si>
  <si>
    <t xml:space="preserve">Test seasonal copy variants for upcoming travel period</t>
  </si>
  <si>
    <t xml:space="preserve">e.g. Verano LATAM if Dec-Feb approaching</t>
  </si>
  <si>
    <t xml:space="preserve">Day 60-75</t>
  </si>
  <si>
    <t xml:space="preserve">Build comparison LP for Holafly + Airalo, route C5 traffic there</t>
  </si>
  <si>
    <t xml:space="preserve">Increase landing page Quality Score</t>
  </si>
  <si>
    <t xml:space="preserve">Day 75</t>
  </si>
  <si>
    <t xml:space="preserve">Decision point: launch PMax with brand exclusions OR Demand Gen</t>
  </si>
  <si>
    <t xml:space="preserve">Need 50+ monthly conversions to justify</t>
  </si>
  <si>
    <t xml:space="preserve">Review</t>
  </si>
  <si>
    <t xml:space="preserve">Day 90</t>
  </si>
  <si>
    <t xml:space="preserve">Full account review: Quality Score, search terms, geo, device, time-of-day</t>
  </si>
  <si>
    <t xml:space="preserve">Build optimization backlog</t>
  </si>
  <si>
    <t xml:space="preserve">Update LTV-based tCPA targets using 90-day repeat purchase data</t>
  </si>
  <si>
    <t xml:space="preserve">The unlock — bid up on repeat-buyer lookalikes</t>
  </si>
  <si>
    <t xml:space="preserve">Plan Q+1: PMax/Demand Gen, YouTube remarketing, seasonal pacing</t>
  </si>
  <si>
    <t xml:space="preserve">Move beyond Search-only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</si>
</sst>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1A1A"/>
      <name val="Arial"/>
      <family val="0"/>
      <charset val="1"/>
    </font>
    <font>
      <i val="true"/>
      <sz val="11"/>
      <color rgb="FF6B625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i val="true"/>
      <sz val="10"/>
      <color rgb="FF6B625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4545"/>
        <bgColor rgb="FF993366"/>
      </patternFill>
    </fill>
    <fill>
      <patternFill patternType="solid">
        <fgColor rgb="FF1A1A1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BE5D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D64545"/>
      <rgbColor rgb="FFEBE5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5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6" min="4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23.85" hidden="false" customHeight="false" outlineLevel="0" collapsed="false">
      <c r="A6" s="5" t="s">
        <v>6</v>
      </c>
      <c r="B6" s="6" t="n">
        <v>6</v>
      </c>
      <c r="C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  <c r="C7" s="6" t="s">
        <v>10</v>
      </c>
    </row>
    <row r="8" customFormat="false" ht="15" hidden="false" customHeight="false" outlineLevel="0" collapsed="false">
      <c r="A8" s="5" t="s">
        <v>11</v>
      </c>
      <c r="B8" s="6" t="s">
        <v>12</v>
      </c>
      <c r="C8" s="6" t="s">
        <v>13</v>
      </c>
    </row>
    <row r="9" customFormat="false" ht="15" hidden="false" customHeight="false" outlineLevel="0" collapsed="false">
      <c r="A9" s="5" t="s">
        <v>14</v>
      </c>
      <c r="B9" s="6" t="s">
        <v>15</v>
      </c>
      <c r="C9" s="6" t="s">
        <v>16</v>
      </c>
    </row>
    <row r="10" customFormat="false" ht="15" hidden="false" customHeight="false" outlineLevel="0" collapsed="false">
      <c r="A10" s="5" t="s">
        <v>17</v>
      </c>
      <c r="B10" s="6" t="s">
        <v>18</v>
      </c>
      <c r="C10" s="6" t="s">
        <v>19</v>
      </c>
    </row>
    <row r="11" customFormat="false" ht="23.85" hidden="false" customHeight="false" outlineLevel="0" collapsed="false">
      <c r="A11" s="5" t="s">
        <v>20</v>
      </c>
      <c r="B11" s="6" t="s">
        <v>21</v>
      </c>
      <c r="C11" s="6" t="s">
        <v>22</v>
      </c>
    </row>
    <row r="12" customFormat="false" ht="15" hidden="false" customHeight="false" outlineLevel="0" collapsed="false">
      <c r="A12" s="5" t="s">
        <v>23</v>
      </c>
      <c r="B12" s="6" t="s">
        <v>24</v>
      </c>
      <c r="C12" s="6" t="s">
        <v>25</v>
      </c>
    </row>
    <row r="13" customFormat="false" ht="15" hidden="false" customHeight="false" outlineLevel="0" collapsed="false">
      <c r="A13" s="5" t="s">
        <v>26</v>
      </c>
      <c r="B13" s="6" t="s">
        <v>27</v>
      </c>
      <c r="C13" s="6" t="s">
        <v>28</v>
      </c>
    </row>
    <row r="15" customFormat="false" ht="15" hidden="false" customHeight="false" outlineLevel="0" collapsed="false">
      <c r="A15" s="3" t="s">
        <v>29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4" t="s">
        <v>30</v>
      </c>
      <c r="B16" s="4" t="s">
        <v>31</v>
      </c>
    </row>
    <row r="17" customFormat="false" ht="15" hidden="false" customHeight="false" outlineLevel="0" collapsed="false">
      <c r="A17" s="5" t="s">
        <v>32</v>
      </c>
      <c r="B17" s="6" t="s">
        <v>33</v>
      </c>
    </row>
    <row r="18" customFormat="false" ht="23.85" hidden="false" customHeight="false" outlineLevel="0" collapsed="false">
      <c r="A18" s="5" t="s">
        <v>34</v>
      </c>
      <c r="B18" s="6" t="s">
        <v>35</v>
      </c>
    </row>
    <row r="19" customFormat="false" ht="23.85" hidden="false" customHeight="false" outlineLevel="0" collapsed="false">
      <c r="A19" s="5" t="s">
        <v>36</v>
      </c>
      <c r="B19" s="6" t="s">
        <v>37</v>
      </c>
    </row>
    <row r="20" customFormat="false" ht="23.85" hidden="false" customHeight="false" outlineLevel="0" collapsed="false">
      <c r="A20" s="5" t="s">
        <v>38</v>
      </c>
      <c r="B20" s="6" t="s">
        <v>39</v>
      </c>
    </row>
    <row r="21" customFormat="false" ht="23.85" hidden="false" customHeight="false" outlineLevel="0" collapsed="false">
      <c r="A21" s="5" t="s">
        <v>40</v>
      </c>
      <c r="B21" s="6" t="s">
        <v>41</v>
      </c>
    </row>
    <row r="22" customFormat="false" ht="23.85" hidden="false" customHeight="false" outlineLevel="0" collapsed="false">
      <c r="A22" s="5" t="s">
        <v>42</v>
      </c>
      <c r="B22" s="6" t="s">
        <v>43</v>
      </c>
    </row>
    <row r="23" customFormat="false" ht="23.85" hidden="false" customHeight="false" outlineLevel="0" collapsed="false">
      <c r="A23" s="5" t="s">
        <v>44</v>
      </c>
      <c r="B23" s="6" t="s">
        <v>45</v>
      </c>
    </row>
    <row r="24" customFormat="false" ht="23.85" hidden="false" customHeight="false" outlineLevel="0" collapsed="false">
      <c r="A24" s="5" t="s">
        <v>46</v>
      </c>
      <c r="B24" s="6" t="s">
        <v>47</v>
      </c>
    </row>
    <row r="25" customFormat="false" ht="23.85" hidden="false" customHeight="false" outlineLevel="0" collapsed="false">
      <c r="A25" s="5" t="s">
        <v>48</v>
      </c>
      <c r="B25" s="6" t="s">
        <v>49</v>
      </c>
    </row>
  </sheetData>
  <mergeCells count="4">
    <mergeCell ref="A1:F1"/>
    <mergeCell ref="A2:F2"/>
    <mergeCell ref="A4:F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4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24.45" hidden="false" customHeight="fals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11</v>
      </c>
      <c r="F4" s="4" t="s">
        <v>56</v>
      </c>
      <c r="G4" s="4" t="s">
        <v>57</v>
      </c>
      <c r="H4" s="4" t="s">
        <v>58</v>
      </c>
      <c r="I4" s="4" t="s">
        <v>59</v>
      </c>
      <c r="K4" s="7" t="s">
        <v>60</v>
      </c>
      <c r="L4" s="8" t="n">
        <v>3000</v>
      </c>
    </row>
    <row r="5" customFormat="false" ht="30" hidden="false" customHeight="true" outlineLevel="0" collapsed="false">
      <c r="A5" s="6" t="s">
        <v>61</v>
      </c>
      <c r="B5" s="6" t="s">
        <v>62</v>
      </c>
      <c r="C5" s="6" t="s">
        <v>63</v>
      </c>
      <c r="D5" s="6" t="s">
        <v>64</v>
      </c>
      <c r="E5" s="6" t="s">
        <v>12</v>
      </c>
      <c r="F5" s="6" t="s">
        <v>65</v>
      </c>
      <c r="G5" s="6" t="s">
        <v>66</v>
      </c>
      <c r="H5" s="9" t="n">
        <v>0.05</v>
      </c>
      <c r="I5" s="10" t="n">
        <f aca="false">$L$4*H5</f>
        <v>150</v>
      </c>
    </row>
    <row r="6" customFormat="false" ht="30" hidden="false" customHeight="true" outlineLevel="0" collapsed="false">
      <c r="A6" s="6" t="s">
        <v>67</v>
      </c>
      <c r="B6" s="6" t="s">
        <v>68</v>
      </c>
      <c r="C6" s="6" t="s">
        <v>63</v>
      </c>
      <c r="D6" s="6" t="s">
        <v>10</v>
      </c>
      <c r="E6" s="6" t="s">
        <v>12</v>
      </c>
      <c r="F6" s="6" t="s">
        <v>69</v>
      </c>
      <c r="G6" s="6" t="s">
        <v>24</v>
      </c>
      <c r="H6" s="9" t="n">
        <v>0.1</v>
      </c>
      <c r="I6" s="10" t="n">
        <f aca="false">$L$4*H6</f>
        <v>300</v>
      </c>
    </row>
    <row r="7" customFormat="false" ht="30" hidden="false" customHeight="true" outlineLevel="0" collapsed="false">
      <c r="A7" s="6" t="s">
        <v>70</v>
      </c>
      <c r="B7" s="6" t="s">
        <v>71</v>
      </c>
      <c r="C7" s="6" t="s">
        <v>63</v>
      </c>
      <c r="D7" s="6" t="s">
        <v>72</v>
      </c>
      <c r="E7" s="6" t="s">
        <v>12</v>
      </c>
      <c r="F7" s="6" t="s">
        <v>73</v>
      </c>
      <c r="G7" s="6" t="s">
        <v>24</v>
      </c>
      <c r="H7" s="9" t="n">
        <v>0.5</v>
      </c>
      <c r="I7" s="10" t="n">
        <f aca="false">$L$4*H7</f>
        <v>1500</v>
      </c>
    </row>
    <row r="8" customFormat="false" ht="30" hidden="false" customHeight="true" outlineLevel="0" collapsed="false">
      <c r="A8" s="6" t="s">
        <v>74</v>
      </c>
      <c r="B8" s="6" t="s">
        <v>75</v>
      </c>
      <c r="C8" s="6" t="s">
        <v>63</v>
      </c>
      <c r="D8" s="6" t="s">
        <v>10</v>
      </c>
      <c r="E8" s="6" t="s">
        <v>12</v>
      </c>
      <c r="F8" s="6" t="s">
        <v>73</v>
      </c>
      <c r="G8" s="6" t="s">
        <v>76</v>
      </c>
      <c r="H8" s="9" t="n">
        <v>0.2</v>
      </c>
      <c r="I8" s="10" t="n">
        <f aca="false">$L$4*H8</f>
        <v>600</v>
      </c>
    </row>
    <row r="9" customFormat="false" ht="30" hidden="false" customHeight="true" outlineLevel="0" collapsed="false">
      <c r="A9" s="6" t="s">
        <v>77</v>
      </c>
      <c r="B9" s="6" t="s">
        <v>78</v>
      </c>
      <c r="C9" s="6" t="s">
        <v>63</v>
      </c>
      <c r="D9" s="6" t="s">
        <v>64</v>
      </c>
      <c r="E9" s="6" t="s">
        <v>12</v>
      </c>
      <c r="F9" s="6" t="s">
        <v>69</v>
      </c>
      <c r="G9" s="6" t="s">
        <v>79</v>
      </c>
      <c r="H9" s="9" t="n">
        <v>0.1</v>
      </c>
      <c r="I9" s="10" t="n">
        <f aca="false">$L$4*H9</f>
        <v>300</v>
      </c>
    </row>
    <row r="10" customFormat="false" ht="30" hidden="false" customHeight="true" outlineLevel="0" collapsed="false">
      <c r="A10" s="6" t="s">
        <v>80</v>
      </c>
      <c r="B10" s="6" t="s">
        <v>81</v>
      </c>
      <c r="C10" s="6" t="s">
        <v>82</v>
      </c>
      <c r="D10" s="6" t="s">
        <v>64</v>
      </c>
      <c r="E10" s="6" t="s">
        <v>12</v>
      </c>
      <c r="F10" s="6" t="s">
        <v>69</v>
      </c>
      <c r="G10" s="6" t="s">
        <v>83</v>
      </c>
      <c r="H10" s="9" t="n">
        <v>0.05</v>
      </c>
      <c r="I10" s="10" t="n">
        <f aca="false">$L$4*H10</f>
        <v>150</v>
      </c>
    </row>
    <row r="11" customFormat="false" ht="30" hidden="false" customHeight="true" outlineLevel="0" collapsed="false">
      <c r="A11" s="11"/>
      <c r="B11" s="12" t="s">
        <v>84</v>
      </c>
      <c r="C11" s="11"/>
      <c r="D11" s="11"/>
      <c r="E11" s="11"/>
      <c r="F11" s="11"/>
      <c r="G11" s="11"/>
      <c r="H11" s="13" t="n">
        <f aca="false">SUM(H5:H10)</f>
        <v>1</v>
      </c>
      <c r="I11" s="14" t="n">
        <f aca="false">SUM(I5:I10)</f>
        <v>3000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4.45" hidden="false" customHeight="false" outlineLevel="0" collapsed="false">
      <c r="A1" s="1" t="s">
        <v>85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5</v>
      </c>
    </row>
    <row r="5" customFormat="false" ht="27.75" hidden="false" customHeight="true" outlineLevel="0" collapsed="false">
      <c r="A5" s="6" t="s">
        <v>61</v>
      </c>
      <c r="B5" s="6" t="s">
        <v>92</v>
      </c>
      <c r="C5" s="6" t="s">
        <v>93</v>
      </c>
      <c r="D5" s="6" t="s">
        <v>94</v>
      </c>
      <c r="E5" s="6" t="s">
        <v>95</v>
      </c>
      <c r="F5" s="6" t="s">
        <v>96</v>
      </c>
    </row>
    <row r="6" customFormat="false" ht="27.75" hidden="false" customHeight="true" outlineLevel="0" collapsed="false">
      <c r="A6" s="6" t="s">
        <v>67</v>
      </c>
      <c r="B6" s="6" t="s">
        <v>97</v>
      </c>
      <c r="C6" s="6" t="s">
        <v>98</v>
      </c>
      <c r="D6" s="6" t="s">
        <v>94</v>
      </c>
      <c r="E6" s="6" t="s">
        <v>99</v>
      </c>
      <c r="F6" s="6" t="s">
        <v>100</v>
      </c>
    </row>
    <row r="7" customFormat="false" ht="27.75" hidden="false" customHeight="true" outlineLevel="0" collapsed="false">
      <c r="A7" s="6" t="s">
        <v>67</v>
      </c>
      <c r="B7" s="6" t="s">
        <v>101</v>
      </c>
      <c r="C7" s="6" t="s">
        <v>102</v>
      </c>
      <c r="D7" s="6" t="s">
        <v>94</v>
      </c>
      <c r="E7" s="6" t="s">
        <v>99</v>
      </c>
      <c r="F7" s="6" t="s">
        <v>103</v>
      </c>
    </row>
    <row r="8" customFormat="false" ht="27.75" hidden="false" customHeight="true" outlineLevel="0" collapsed="false">
      <c r="A8" s="6" t="s">
        <v>67</v>
      </c>
      <c r="B8" s="6" t="s">
        <v>104</v>
      </c>
      <c r="C8" s="6" t="s">
        <v>105</v>
      </c>
      <c r="D8" s="6" t="s">
        <v>94</v>
      </c>
      <c r="E8" s="6" t="s">
        <v>99</v>
      </c>
      <c r="F8" s="6" t="s">
        <v>106</v>
      </c>
    </row>
    <row r="9" customFormat="false" ht="27.75" hidden="false" customHeight="true" outlineLevel="0" collapsed="false">
      <c r="A9" s="6" t="s">
        <v>70</v>
      </c>
      <c r="B9" s="6" t="s">
        <v>107</v>
      </c>
      <c r="C9" s="6" t="s">
        <v>108</v>
      </c>
      <c r="D9" s="6" t="s">
        <v>109</v>
      </c>
      <c r="E9" s="6" t="s">
        <v>95</v>
      </c>
      <c r="F9" s="6" t="s">
        <v>110</v>
      </c>
    </row>
    <row r="10" customFormat="false" ht="27.75" hidden="false" customHeight="true" outlineLevel="0" collapsed="false">
      <c r="A10" s="6" t="s">
        <v>70</v>
      </c>
      <c r="B10" s="6" t="s">
        <v>111</v>
      </c>
      <c r="C10" s="6" t="s">
        <v>112</v>
      </c>
      <c r="D10" s="6" t="s">
        <v>113</v>
      </c>
      <c r="E10" s="6" t="s">
        <v>95</v>
      </c>
      <c r="F10" s="6" t="s">
        <v>114</v>
      </c>
    </row>
    <row r="11" customFormat="false" ht="27.75" hidden="false" customHeight="true" outlineLevel="0" collapsed="false">
      <c r="A11" s="6" t="s">
        <v>70</v>
      </c>
      <c r="B11" s="6" t="s">
        <v>115</v>
      </c>
      <c r="C11" s="6" t="s">
        <v>116</v>
      </c>
      <c r="D11" s="6" t="s">
        <v>117</v>
      </c>
      <c r="E11" s="6" t="s">
        <v>95</v>
      </c>
      <c r="F11" s="6" t="s">
        <v>118</v>
      </c>
    </row>
    <row r="12" customFormat="false" ht="27.75" hidden="false" customHeight="true" outlineLevel="0" collapsed="false">
      <c r="A12" s="6" t="s">
        <v>70</v>
      </c>
      <c r="B12" s="6" t="s">
        <v>119</v>
      </c>
      <c r="C12" s="6" t="s">
        <v>120</v>
      </c>
      <c r="D12" s="6" t="s">
        <v>121</v>
      </c>
      <c r="E12" s="6" t="s">
        <v>95</v>
      </c>
      <c r="F12" s="6" t="s">
        <v>122</v>
      </c>
    </row>
    <row r="13" customFormat="false" ht="27.75" hidden="false" customHeight="true" outlineLevel="0" collapsed="false">
      <c r="A13" s="6" t="s">
        <v>74</v>
      </c>
      <c r="B13" s="6" t="s">
        <v>123</v>
      </c>
      <c r="C13" s="6" t="s">
        <v>124</v>
      </c>
      <c r="D13" s="6" t="s">
        <v>125</v>
      </c>
      <c r="E13" s="6" t="s">
        <v>95</v>
      </c>
      <c r="F13" s="6"/>
    </row>
    <row r="14" customFormat="false" ht="27.75" hidden="false" customHeight="true" outlineLevel="0" collapsed="false">
      <c r="A14" s="6" t="s">
        <v>74</v>
      </c>
      <c r="B14" s="6" t="s">
        <v>126</v>
      </c>
      <c r="C14" s="6" t="s">
        <v>127</v>
      </c>
      <c r="D14" s="6" t="s">
        <v>128</v>
      </c>
      <c r="E14" s="6" t="s">
        <v>95</v>
      </c>
      <c r="F14" s="6"/>
    </row>
    <row r="15" customFormat="false" ht="27.75" hidden="false" customHeight="true" outlineLevel="0" collapsed="false">
      <c r="A15" s="6" t="s">
        <v>74</v>
      </c>
      <c r="B15" s="6" t="s">
        <v>129</v>
      </c>
      <c r="C15" s="6" t="s">
        <v>130</v>
      </c>
      <c r="D15" s="6" t="s">
        <v>131</v>
      </c>
      <c r="E15" s="6" t="s">
        <v>95</v>
      </c>
      <c r="F15" s="6"/>
    </row>
    <row r="16" customFormat="false" ht="27.75" hidden="false" customHeight="true" outlineLevel="0" collapsed="false">
      <c r="A16" s="6" t="s">
        <v>74</v>
      </c>
      <c r="B16" s="6" t="s">
        <v>132</v>
      </c>
      <c r="C16" s="6" t="s">
        <v>133</v>
      </c>
      <c r="D16" s="6" t="s">
        <v>134</v>
      </c>
      <c r="E16" s="6" t="s">
        <v>95</v>
      </c>
      <c r="F16" s="6"/>
    </row>
    <row r="17" customFormat="false" ht="27.75" hidden="false" customHeight="true" outlineLevel="0" collapsed="false">
      <c r="A17" s="6" t="s">
        <v>74</v>
      </c>
      <c r="B17" s="6" t="s">
        <v>135</v>
      </c>
      <c r="C17" s="6" t="s">
        <v>136</v>
      </c>
      <c r="D17" s="6" t="s">
        <v>137</v>
      </c>
      <c r="E17" s="6" t="s">
        <v>95</v>
      </c>
      <c r="F17" s="6"/>
    </row>
    <row r="18" customFormat="false" ht="27.75" hidden="false" customHeight="true" outlineLevel="0" collapsed="false">
      <c r="A18" s="6" t="s">
        <v>74</v>
      </c>
      <c r="B18" s="6" t="s">
        <v>138</v>
      </c>
      <c r="C18" s="6" t="s">
        <v>139</v>
      </c>
      <c r="D18" s="6" t="s">
        <v>140</v>
      </c>
      <c r="E18" s="6" t="s">
        <v>95</v>
      </c>
      <c r="F18" s="6" t="s">
        <v>141</v>
      </c>
    </row>
    <row r="19" customFormat="false" ht="27.75" hidden="false" customHeight="true" outlineLevel="0" collapsed="false">
      <c r="A19" s="6" t="s">
        <v>77</v>
      </c>
      <c r="B19" s="6" t="s">
        <v>142</v>
      </c>
      <c r="C19" s="6" t="s">
        <v>143</v>
      </c>
      <c r="D19" s="6" t="s">
        <v>144</v>
      </c>
      <c r="E19" s="6" t="s">
        <v>145</v>
      </c>
      <c r="F19" s="6" t="s">
        <v>146</v>
      </c>
    </row>
    <row r="20" customFormat="false" ht="27.75" hidden="false" customHeight="true" outlineLevel="0" collapsed="false">
      <c r="A20" s="6" t="s">
        <v>77</v>
      </c>
      <c r="B20" s="6" t="s">
        <v>147</v>
      </c>
      <c r="C20" s="6" t="s">
        <v>148</v>
      </c>
      <c r="D20" s="6" t="s">
        <v>144</v>
      </c>
      <c r="E20" s="6" t="s">
        <v>145</v>
      </c>
      <c r="F20" s="6" t="s">
        <v>146</v>
      </c>
    </row>
    <row r="21" customFormat="false" ht="27.75" hidden="false" customHeight="true" outlineLevel="0" collapsed="false">
      <c r="A21" s="6" t="s">
        <v>80</v>
      </c>
      <c r="B21" s="6" t="s">
        <v>149</v>
      </c>
      <c r="C21" s="6" t="s">
        <v>150</v>
      </c>
      <c r="D21" s="6" t="s">
        <v>151</v>
      </c>
      <c r="E21" s="6" t="s">
        <v>152</v>
      </c>
      <c r="F21" s="6" t="s">
        <v>153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6"/>
    <col collapsed="false" customWidth="true" hidden="false" outlineLevel="0" max="4" min="4" style="0" width="12"/>
    <col collapsed="false" customWidth="true" hidden="false" outlineLevel="0" max="5" min="5" style="0" width="36"/>
  </cols>
  <sheetData>
    <row r="1" customFormat="false" ht="24.45" hidden="false" customHeight="false" outlineLevel="0" collapsed="false">
      <c r="A1" s="1" t="s">
        <v>154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87</v>
      </c>
      <c r="B4" s="4" t="s">
        <v>156</v>
      </c>
      <c r="C4" s="4" t="s">
        <v>157</v>
      </c>
      <c r="D4" s="4" t="s">
        <v>158</v>
      </c>
      <c r="E4" s="4" t="s">
        <v>159</v>
      </c>
    </row>
    <row r="5" customFormat="false" ht="15" hidden="false" customHeight="false" outlineLevel="0" collapsed="false">
      <c r="A5" s="6" t="s">
        <v>61</v>
      </c>
      <c r="B5" s="6" t="s">
        <v>92</v>
      </c>
      <c r="C5" s="6" t="s">
        <v>160</v>
      </c>
      <c r="D5" s="6" t="s">
        <v>161</v>
      </c>
      <c r="E5" s="6" t="s">
        <v>162</v>
      </c>
    </row>
    <row r="6" customFormat="false" ht="15" hidden="false" customHeight="false" outlineLevel="0" collapsed="false">
      <c r="A6" s="6" t="s">
        <v>61</v>
      </c>
      <c r="B6" s="6" t="s">
        <v>92</v>
      </c>
      <c r="C6" s="6" t="s">
        <v>163</v>
      </c>
      <c r="D6" s="6" t="s">
        <v>161</v>
      </c>
      <c r="E6" s="6" t="s">
        <v>164</v>
      </c>
    </row>
    <row r="7" customFormat="false" ht="15" hidden="false" customHeight="false" outlineLevel="0" collapsed="false">
      <c r="A7" s="6" t="s">
        <v>61</v>
      </c>
      <c r="B7" s="6" t="s">
        <v>92</v>
      </c>
      <c r="C7" s="6" t="s">
        <v>163</v>
      </c>
      <c r="D7" s="6" t="s">
        <v>165</v>
      </c>
      <c r="E7" s="6" t="s">
        <v>166</v>
      </c>
    </row>
    <row r="8" customFormat="false" ht="15" hidden="false" customHeight="false" outlineLevel="0" collapsed="false">
      <c r="A8" s="6" t="s">
        <v>61</v>
      </c>
      <c r="B8" s="6" t="s">
        <v>92</v>
      </c>
      <c r="C8" s="6" t="s">
        <v>167</v>
      </c>
      <c r="D8" s="6" t="s">
        <v>161</v>
      </c>
      <c r="E8" s="6" t="s">
        <v>168</v>
      </c>
    </row>
    <row r="9" customFormat="false" ht="15" hidden="false" customHeight="false" outlineLevel="0" collapsed="false">
      <c r="A9" s="6" t="s">
        <v>61</v>
      </c>
      <c r="B9" s="6" t="s">
        <v>92</v>
      </c>
      <c r="C9" s="6" t="s">
        <v>169</v>
      </c>
      <c r="D9" s="6" t="s">
        <v>165</v>
      </c>
      <c r="E9" s="6" t="s">
        <v>170</v>
      </c>
    </row>
    <row r="10" customFormat="false" ht="15" hidden="false" customHeight="false" outlineLevel="0" collapsed="false">
      <c r="A10" s="6" t="s">
        <v>61</v>
      </c>
      <c r="B10" s="6" t="s">
        <v>92</v>
      </c>
      <c r="C10" s="6" t="s">
        <v>171</v>
      </c>
      <c r="D10" s="6" t="s">
        <v>165</v>
      </c>
      <c r="E10" s="6" t="s">
        <v>172</v>
      </c>
    </row>
    <row r="11" customFormat="false" ht="15" hidden="false" customHeight="false" outlineLevel="0" collapsed="false">
      <c r="A11" s="6" t="s">
        <v>61</v>
      </c>
      <c r="B11" s="6" t="s">
        <v>92</v>
      </c>
      <c r="C11" s="6" t="s">
        <v>173</v>
      </c>
      <c r="D11" s="6" t="s">
        <v>165</v>
      </c>
      <c r="E11" s="6" t="s">
        <v>174</v>
      </c>
    </row>
    <row r="12" customFormat="false" ht="15" hidden="false" customHeight="false" outlineLevel="0" collapsed="false">
      <c r="A12" s="6" t="s">
        <v>61</v>
      </c>
      <c r="B12" s="6" t="s">
        <v>92</v>
      </c>
      <c r="C12" s="6" t="s">
        <v>175</v>
      </c>
      <c r="D12" s="6" t="s">
        <v>165</v>
      </c>
      <c r="E12" s="6" t="s">
        <v>176</v>
      </c>
    </row>
    <row r="13" customFormat="false" ht="15" hidden="false" customHeight="false" outlineLevel="0" collapsed="false">
      <c r="A13" s="6" t="s">
        <v>67</v>
      </c>
      <c r="B13" s="6" t="s">
        <v>97</v>
      </c>
      <c r="C13" s="6" t="s">
        <v>177</v>
      </c>
      <c r="D13" s="6" t="s">
        <v>161</v>
      </c>
      <c r="E13" s="6" t="s">
        <v>178</v>
      </c>
    </row>
    <row r="14" customFormat="false" ht="15" hidden="false" customHeight="false" outlineLevel="0" collapsed="false">
      <c r="A14" s="6" t="s">
        <v>67</v>
      </c>
      <c r="B14" s="6" t="s">
        <v>97</v>
      </c>
      <c r="C14" s="6" t="s">
        <v>177</v>
      </c>
      <c r="D14" s="6" t="s">
        <v>165</v>
      </c>
      <c r="E14" s="6" t="s">
        <v>179</v>
      </c>
    </row>
    <row r="15" customFormat="false" ht="15" hidden="false" customHeight="false" outlineLevel="0" collapsed="false">
      <c r="A15" s="6" t="s">
        <v>67</v>
      </c>
      <c r="B15" s="6" t="s">
        <v>97</v>
      </c>
      <c r="C15" s="6" t="s">
        <v>180</v>
      </c>
      <c r="D15" s="6" t="s">
        <v>161</v>
      </c>
      <c r="E15" s="6" t="s">
        <v>181</v>
      </c>
    </row>
    <row r="16" customFormat="false" ht="15" hidden="false" customHeight="false" outlineLevel="0" collapsed="false">
      <c r="A16" s="6" t="s">
        <v>67</v>
      </c>
      <c r="B16" s="6" t="s">
        <v>97</v>
      </c>
      <c r="C16" s="6" t="s">
        <v>180</v>
      </c>
      <c r="D16" s="6" t="s">
        <v>165</v>
      </c>
      <c r="E16" s="6" t="s">
        <v>182</v>
      </c>
    </row>
    <row r="17" customFormat="false" ht="15" hidden="false" customHeight="false" outlineLevel="0" collapsed="false">
      <c r="A17" s="6" t="s">
        <v>67</v>
      </c>
      <c r="B17" s="6" t="s">
        <v>97</v>
      </c>
      <c r="C17" s="6" t="s">
        <v>183</v>
      </c>
      <c r="D17" s="6" t="s">
        <v>165</v>
      </c>
      <c r="E17" s="6" t="s">
        <v>184</v>
      </c>
    </row>
    <row r="18" customFormat="false" ht="15" hidden="false" customHeight="false" outlineLevel="0" collapsed="false">
      <c r="A18" s="6" t="s">
        <v>67</v>
      </c>
      <c r="B18" s="6" t="s">
        <v>97</v>
      </c>
      <c r="C18" s="6" t="s">
        <v>185</v>
      </c>
      <c r="D18" s="6" t="s">
        <v>165</v>
      </c>
      <c r="E18" s="6" t="s">
        <v>186</v>
      </c>
    </row>
    <row r="19" customFormat="false" ht="15" hidden="false" customHeight="false" outlineLevel="0" collapsed="false">
      <c r="A19" s="6" t="s">
        <v>67</v>
      </c>
      <c r="B19" s="6" t="s">
        <v>97</v>
      </c>
      <c r="C19" s="6" t="s">
        <v>187</v>
      </c>
      <c r="D19" s="6" t="s">
        <v>165</v>
      </c>
      <c r="E19" s="6" t="s">
        <v>188</v>
      </c>
    </row>
    <row r="20" customFormat="false" ht="15" hidden="false" customHeight="false" outlineLevel="0" collapsed="false">
      <c r="A20" s="6" t="s">
        <v>67</v>
      </c>
      <c r="B20" s="6" t="s">
        <v>97</v>
      </c>
      <c r="C20" s="6" t="s">
        <v>189</v>
      </c>
      <c r="D20" s="6" t="s">
        <v>165</v>
      </c>
      <c r="E20" s="6" t="s">
        <v>190</v>
      </c>
    </row>
    <row r="21" customFormat="false" ht="15" hidden="false" customHeight="false" outlineLevel="0" collapsed="false">
      <c r="A21" s="6" t="s">
        <v>67</v>
      </c>
      <c r="B21" s="6" t="s">
        <v>97</v>
      </c>
      <c r="C21" s="6" t="s">
        <v>191</v>
      </c>
      <c r="D21" s="6" t="s">
        <v>165</v>
      </c>
      <c r="E21" s="6" t="s">
        <v>192</v>
      </c>
    </row>
    <row r="22" customFormat="false" ht="15" hidden="false" customHeight="false" outlineLevel="0" collapsed="false">
      <c r="A22" s="6" t="s">
        <v>67</v>
      </c>
      <c r="B22" s="6" t="s">
        <v>101</v>
      </c>
      <c r="C22" s="6" t="s">
        <v>193</v>
      </c>
      <c r="D22" s="6" t="s">
        <v>161</v>
      </c>
      <c r="E22" s="6" t="s">
        <v>194</v>
      </c>
    </row>
    <row r="23" customFormat="false" ht="15" hidden="false" customHeight="false" outlineLevel="0" collapsed="false">
      <c r="A23" s="6" t="s">
        <v>67</v>
      </c>
      <c r="B23" s="6" t="s">
        <v>101</v>
      </c>
      <c r="C23" s="6" t="s">
        <v>195</v>
      </c>
      <c r="D23" s="6" t="s">
        <v>165</v>
      </c>
      <c r="E23" s="6" t="s">
        <v>196</v>
      </c>
    </row>
    <row r="24" customFormat="false" ht="15" hidden="false" customHeight="false" outlineLevel="0" collapsed="false">
      <c r="A24" s="6" t="s">
        <v>67</v>
      </c>
      <c r="B24" s="6" t="s">
        <v>101</v>
      </c>
      <c r="C24" s="6" t="s">
        <v>197</v>
      </c>
      <c r="D24" s="6" t="s">
        <v>165</v>
      </c>
      <c r="E24" s="6" t="s">
        <v>198</v>
      </c>
    </row>
    <row r="25" customFormat="false" ht="15" hidden="false" customHeight="false" outlineLevel="0" collapsed="false">
      <c r="A25" s="6" t="s">
        <v>67</v>
      </c>
      <c r="B25" s="6" t="s">
        <v>101</v>
      </c>
      <c r="C25" s="6" t="s">
        <v>199</v>
      </c>
      <c r="D25" s="6" t="s">
        <v>165</v>
      </c>
      <c r="E25" s="6" t="s">
        <v>200</v>
      </c>
    </row>
    <row r="26" customFormat="false" ht="15" hidden="false" customHeight="false" outlineLevel="0" collapsed="false">
      <c r="A26" s="6" t="s">
        <v>67</v>
      </c>
      <c r="B26" s="6" t="s">
        <v>104</v>
      </c>
      <c r="C26" s="6" t="s">
        <v>201</v>
      </c>
      <c r="D26" s="6" t="s">
        <v>161</v>
      </c>
      <c r="E26" s="6" t="s">
        <v>202</v>
      </c>
    </row>
    <row r="27" customFormat="false" ht="15" hidden="false" customHeight="false" outlineLevel="0" collapsed="false">
      <c r="A27" s="6" t="s">
        <v>67</v>
      </c>
      <c r="B27" s="6" t="s">
        <v>104</v>
      </c>
      <c r="C27" s="6" t="s">
        <v>203</v>
      </c>
      <c r="D27" s="6" t="s">
        <v>165</v>
      </c>
      <c r="E27" s="6" t="s">
        <v>204</v>
      </c>
    </row>
    <row r="28" customFormat="false" ht="15" hidden="false" customHeight="false" outlineLevel="0" collapsed="false">
      <c r="A28" s="6" t="s">
        <v>67</v>
      </c>
      <c r="B28" s="6" t="s">
        <v>104</v>
      </c>
      <c r="C28" s="6" t="s">
        <v>205</v>
      </c>
      <c r="D28" s="6" t="s">
        <v>165</v>
      </c>
      <c r="E28" s="6" t="s">
        <v>206</v>
      </c>
    </row>
    <row r="29" customFormat="false" ht="15" hidden="false" customHeight="false" outlineLevel="0" collapsed="false">
      <c r="A29" s="6" t="s">
        <v>67</v>
      </c>
      <c r="B29" s="6" t="s">
        <v>104</v>
      </c>
      <c r="C29" s="6" t="s">
        <v>207</v>
      </c>
      <c r="D29" s="6" t="s">
        <v>165</v>
      </c>
      <c r="E29" s="6" t="s">
        <v>208</v>
      </c>
    </row>
    <row r="30" customFormat="false" ht="15" hidden="false" customHeight="false" outlineLevel="0" collapsed="false">
      <c r="A30" s="6" t="s">
        <v>70</v>
      </c>
      <c r="B30" s="6" t="s">
        <v>107</v>
      </c>
      <c r="C30" s="6" t="s">
        <v>209</v>
      </c>
      <c r="D30" s="6" t="s">
        <v>161</v>
      </c>
      <c r="E30" s="6" t="s">
        <v>210</v>
      </c>
    </row>
    <row r="31" customFormat="false" ht="15" hidden="false" customHeight="false" outlineLevel="0" collapsed="false">
      <c r="A31" s="6" t="s">
        <v>70</v>
      </c>
      <c r="B31" s="6" t="s">
        <v>107</v>
      </c>
      <c r="C31" s="6" t="s">
        <v>211</v>
      </c>
      <c r="D31" s="6" t="s">
        <v>161</v>
      </c>
      <c r="E31" s="6" t="s">
        <v>212</v>
      </c>
    </row>
    <row r="32" customFormat="false" ht="15" hidden="false" customHeight="false" outlineLevel="0" collapsed="false">
      <c r="A32" s="6" t="s">
        <v>70</v>
      </c>
      <c r="B32" s="6" t="s">
        <v>107</v>
      </c>
      <c r="C32" s="6" t="s">
        <v>213</v>
      </c>
      <c r="D32" s="6" t="s">
        <v>165</v>
      </c>
      <c r="E32" s="6" t="s">
        <v>214</v>
      </c>
    </row>
    <row r="33" customFormat="false" ht="15" hidden="false" customHeight="false" outlineLevel="0" collapsed="false">
      <c r="A33" s="6" t="s">
        <v>70</v>
      </c>
      <c r="B33" s="6" t="s">
        <v>107</v>
      </c>
      <c r="C33" s="6" t="s">
        <v>215</v>
      </c>
      <c r="D33" s="6" t="s">
        <v>165</v>
      </c>
      <c r="E33" s="6" t="s">
        <v>216</v>
      </c>
    </row>
    <row r="34" customFormat="false" ht="15" hidden="false" customHeight="false" outlineLevel="0" collapsed="false">
      <c r="A34" s="6" t="s">
        <v>70</v>
      </c>
      <c r="B34" s="6" t="s">
        <v>107</v>
      </c>
      <c r="C34" s="6" t="s">
        <v>217</v>
      </c>
      <c r="D34" s="6" t="s">
        <v>165</v>
      </c>
      <c r="E34" s="6" t="s">
        <v>218</v>
      </c>
    </row>
    <row r="35" customFormat="false" ht="15" hidden="false" customHeight="false" outlineLevel="0" collapsed="false">
      <c r="A35" s="6" t="s">
        <v>70</v>
      </c>
      <c r="B35" s="6" t="s">
        <v>107</v>
      </c>
      <c r="C35" s="6" t="s">
        <v>219</v>
      </c>
      <c r="D35" s="6" t="s">
        <v>165</v>
      </c>
      <c r="E35" s="6" t="s">
        <v>220</v>
      </c>
    </row>
    <row r="36" customFormat="false" ht="15" hidden="false" customHeight="false" outlineLevel="0" collapsed="false">
      <c r="A36" s="6" t="s">
        <v>70</v>
      </c>
      <c r="B36" s="6" t="s">
        <v>107</v>
      </c>
      <c r="C36" s="6" t="s">
        <v>221</v>
      </c>
      <c r="D36" s="6" t="s">
        <v>165</v>
      </c>
      <c r="E36" s="6" t="s">
        <v>222</v>
      </c>
    </row>
    <row r="37" customFormat="false" ht="15" hidden="false" customHeight="false" outlineLevel="0" collapsed="false">
      <c r="A37" s="6" t="s">
        <v>70</v>
      </c>
      <c r="B37" s="6" t="s">
        <v>107</v>
      </c>
      <c r="C37" s="6" t="s">
        <v>223</v>
      </c>
      <c r="D37" s="6" t="s">
        <v>165</v>
      </c>
      <c r="E37" s="6" t="s">
        <v>224</v>
      </c>
    </row>
    <row r="38" customFormat="false" ht="15" hidden="false" customHeight="false" outlineLevel="0" collapsed="false">
      <c r="A38" s="6" t="s">
        <v>70</v>
      </c>
      <c r="B38" s="6" t="s">
        <v>107</v>
      </c>
      <c r="C38" s="6" t="s">
        <v>225</v>
      </c>
      <c r="D38" s="6" t="s">
        <v>165</v>
      </c>
      <c r="E38" s="6" t="s">
        <v>226</v>
      </c>
    </row>
    <row r="39" customFormat="false" ht="15" hidden="false" customHeight="false" outlineLevel="0" collapsed="false">
      <c r="A39" s="6" t="s">
        <v>70</v>
      </c>
      <c r="B39" s="6" t="s">
        <v>107</v>
      </c>
      <c r="C39" s="6" t="s">
        <v>227</v>
      </c>
      <c r="D39" s="6" t="s">
        <v>165</v>
      </c>
      <c r="E39" s="6" t="s">
        <v>228</v>
      </c>
    </row>
    <row r="40" customFormat="false" ht="15" hidden="false" customHeight="false" outlineLevel="0" collapsed="false">
      <c r="A40" s="6" t="s">
        <v>70</v>
      </c>
      <c r="B40" s="6" t="s">
        <v>111</v>
      </c>
      <c r="C40" s="6" t="s">
        <v>229</v>
      </c>
      <c r="D40" s="6" t="s">
        <v>161</v>
      </c>
      <c r="E40" s="6" t="s">
        <v>230</v>
      </c>
    </row>
    <row r="41" customFormat="false" ht="15" hidden="false" customHeight="false" outlineLevel="0" collapsed="false">
      <c r="A41" s="6" t="s">
        <v>70</v>
      </c>
      <c r="B41" s="6" t="s">
        <v>111</v>
      </c>
      <c r="C41" s="6" t="s">
        <v>231</v>
      </c>
      <c r="D41" s="6" t="s">
        <v>165</v>
      </c>
      <c r="E41" s="6" t="s">
        <v>232</v>
      </c>
    </row>
    <row r="42" customFormat="false" ht="15" hidden="false" customHeight="false" outlineLevel="0" collapsed="false">
      <c r="A42" s="6" t="s">
        <v>70</v>
      </c>
      <c r="B42" s="6" t="s">
        <v>111</v>
      </c>
      <c r="C42" s="6" t="s">
        <v>233</v>
      </c>
      <c r="D42" s="6" t="s">
        <v>165</v>
      </c>
      <c r="E42" s="6" t="s">
        <v>234</v>
      </c>
    </row>
    <row r="43" customFormat="false" ht="15" hidden="false" customHeight="false" outlineLevel="0" collapsed="false">
      <c r="A43" s="6" t="s">
        <v>70</v>
      </c>
      <c r="B43" s="6" t="s">
        <v>111</v>
      </c>
      <c r="C43" s="6" t="s">
        <v>235</v>
      </c>
      <c r="D43" s="6" t="s">
        <v>165</v>
      </c>
      <c r="E43" s="6" t="s">
        <v>236</v>
      </c>
    </row>
    <row r="44" customFormat="false" ht="15" hidden="false" customHeight="false" outlineLevel="0" collapsed="false">
      <c r="A44" s="6" t="s">
        <v>70</v>
      </c>
      <c r="B44" s="6" t="s">
        <v>111</v>
      </c>
      <c r="C44" s="6" t="s">
        <v>237</v>
      </c>
      <c r="D44" s="6" t="s">
        <v>165</v>
      </c>
      <c r="E44" s="6" t="s">
        <v>238</v>
      </c>
    </row>
    <row r="45" customFormat="false" ht="15" hidden="false" customHeight="false" outlineLevel="0" collapsed="false">
      <c r="A45" s="6" t="s">
        <v>70</v>
      </c>
      <c r="B45" s="6" t="s">
        <v>111</v>
      </c>
      <c r="C45" s="6" t="s">
        <v>239</v>
      </c>
      <c r="D45" s="6" t="s">
        <v>165</v>
      </c>
      <c r="E45" s="6" t="s">
        <v>240</v>
      </c>
    </row>
    <row r="46" customFormat="false" ht="15" hidden="false" customHeight="false" outlineLevel="0" collapsed="false">
      <c r="A46" s="6" t="s">
        <v>70</v>
      </c>
      <c r="B46" s="6" t="s">
        <v>111</v>
      </c>
      <c r="C46" s="6" t="s">
        <v>241</v>
      </c>
      <c r="D46" s="6" t="s">
        <v>165</v>
      </c>
      <c r="E46" s="6" t="s">
        <v>242</v>
      </c>
    </row>
    <row r="47" customFormat="false" ht="15" hidden="false" customHeight="false" outlineLevel="0" collapsed="false">
      <c r="A47" s="6" t="s">
        <v>70</v>
      </c>
      <c r="B47" s="6" t="s">
        <v>115</v>
      </c>
      <c r="C47" s="6" t="s">
        <v>243</v>
      </c>
      <c r="D47" s="6" t="s">
        <v>161</v>
      </c>
      <c r="E47" s="6" t="s">
        <v>244</v>
      </c>
    </row>
    <row r="48" customFormat="false" ht="15" hidden="false" customHeight="false" outlineLevel="0" collapsed="false">
      <c r="A48" s="6" t="s">
        <v>70</v>
      </c>
      <c r="B48" s="6" t="s">
        <v>115</v>
      </c>
      <c r="C48" s="6" t="s">
        <v>245</v>
      </c>
      <c r="D48" s="6" t="s">
        <v>165</v>
      </c>
      <c r="E48" s="6" t="s">
        <v>246</v>
      </c>
    </row>
    <row r="49" customFormat="false" ht="15" hidden="false" customHeight="false" outlineLevel="0" collapsed="false">
      <c r="A49" s="6" t="s">
        <v>70</v>
      </c>
      <c r="B49" s="6" t="s">
        <v>115</v>
      </c>
      <c r="C49" s="6" t="s">
        <v>247</v>
      </c>
      <c r="D49" s="6" t="s">
        <v>165</v>
      </c>
      <c r="E49" s="6" t="s">
        <v>248</v>
      </c>
    </row>
    <row r="50" customFormat="false" ht="15" hidden="false" customHeight="false" outlineLevel="0" collapsed="false">
      <c r="A50" s="6" t="s">
        <v>70</v>
      </c>
      <c r="B50" s="6" t="s">
        <v>115</v>
      </c>
      <c r="C50" s="6" t="s">
        <v>249</v>
      </c>
      <c r="D50" s="6" t="s">
        <v>165</v>
      </c>
      <c r="E50" s="6" t="s">
        <v>250</v>
      </c>
    </row>
    <row r="51" customFormat="false" ht="15" hidden="false" customHeight="false" outlineLevel="0" collapsed="false">
      <c r="A51" s="6" t="s">
        <v>70</v>
      </c>
      <c r="B51" s="6" t="s">
        <v>115</v>
      </c>
      <c r="C51" s="6" t="s">
        <v>251</v>
      </c>
      <c r="D51" s="6" t="s">
        <v>165</v>
      </c>
      <c r="E51" s="6" t="s">
        <v>252</v>
      </c>
    </row>
    <row r="52" customFormat="false" ht="15" hidden="false" customHeight="false" outlineLevel="0" collapsed="false">
      <c r="A52" s="6" t="s">
        <v>70</v>
      </c>
      <c r="B52" s="6" t="s">
        <v>115</v>
      </c>
      <c r="C52" s="6" t="s">
        <v>253</v>
      </c>
      <c r="D52" s="6" t="s">
        <v>165</v>
      </c>
      <c r="E52" s="6" t="s">
        <v>254</v>
      </c>
    </row>
    <row r="53" customFormat="false" ht="15" hidden="false" customHeight="false" outlineLevel="0" collapsed="false">
      <c r="A53" s="6" t="s">
        <v>70</v>
      </c>
      <c r="B53" s="6" t="s">
        <v>115</v>
      </c>
      <c r="C53" s="6" t="s">
        <v>255</v>
      </c>
      <c r="D53" s="6" t="s">
        <v>165</v>
      </c>
      <c r="E53" s="6" t="s">
        <v>256</v>
      </c>
    </row>
    <row r="54" customFormat="false" ht="15" hidden="false" customHeight="false" outlineLevel="0" collapsed="false">
      <c r="A54" s="6" t="s">
        <v>70</v>
      </c>
      <c r="B54" s="6" t="s">
        <v>119</v>
      </c>
      <c r="C54" s="6" t="s">
        <v>257</v>
      </c>
      <c r="D54" s="6" t="s">
        <v>161</v>
      </c>
      <c r="E54" s="6" t="s">
        <v>258</v>
      </c>
    </row>
    <row r="55" customFormat="false" ht="15" hidden="false" customHeight="false" outlineLevel="0" collapsed="false">
      <c r="A55" s="6" t="s">
        <v>70</v>
      </c>
      <c r="B55" s="6" t="s">
        <v>119</v>
      </c>
      <c r="C55" s="6" t="s">
        <v>259</v>
      </c>
      <c r="D55" s="6" t="s">
        <v>165</v>
      </c>
      <c r="E55" s="6" t="s">
        <v>260</v>
      </c>
    </row>
    <row r="56" customFormat="false" ht="15" hidden="false" customHeight="false" outlineLevel="0" collapsed="false">
      <c r="A56" s="6" t="s">
        <v>70</v>
      </c>
      <c r="B56" s="6" t="s">
        <v>119</v>
      </c>
      <c r="C56" s="6" t="s">
        <v>261</v>
      </c>
      <c r="D56" s="6" t="s">
        <v>165</v>
      </c>
      <c r="E56" s="6" t="s">
        <v>262</v>
      </c>
    </row>
    <row r="57" customFormat="false" ht="15" hidden="false" customHeight="false" outlineLevel="0" collapsed="false">
      <c r="A57" s="6" t="s">
        <v>70</v>
      </c>
      <c r="B57" s="6" t="s">
        <v>119</v>
      </c>
      <c r="C57" s="6" t="s">
        <v>263</v>
      </c>
      <c r="D57" s="6" t="s">
        <v>165</v>
      </c>
      <c r="E57" s="6" t="s">
        <v>264</v>
      </c>
    </row>
    <row r="58" customFormat="false" ht="15" hidden="false" customHeight="false" outlineLevel="0" collapsed="false">
      <c r="A58" s="6" t="s">
        <v>70</v>
      </c>
      <c r="B58" s="6" t="s">
        <v>119</v>
      </c>
      <c r="C58" s="6" t="s">
        <v>265</v>
      </c>
      <c r="D58" s="6" t="s">
        <v>165</v>
      </c>
      <c r="E58" s="6" t="s">
        <v>266</v>
      </c>
    </row>
    <row r="59" customFormat="false" ht="15" hidden="false" customHeight="false" outlineLevel="0" collapsed="false">
      <c r="A59" s="6" t="s">
        <v>70</v>
      </c>
      <c r="B59" s="6" t="s">
        <v>119</v>
      </c>
      <c r="C59" s="6" t="s">
        <v>267</v>
      </c>
      <c r="D59" s="6" t="s">
        <v>165</v>
      </c>
      <c r="E59" s="6" t="s">
        <v>268</v>
      </c>
    </row>
    <row r="60" customFormat="false" ht="15" hidden="false" customHeight="false" outlineLevel="0" collapsed="false">
      <c r="A60" s="6" t="s">
        <v>70</v>
      </c>
      <c r="B60" s="6" t="s">
        <v>119</v>
      </c>
      <c r="C60" s="6" t="s">
        <v>269</v>
      </c>
      <c r="D60" s="6" t="s">
        <v>165</v>
      </c>
      <c r="E60" s="6" t="s">
        <v>270</v>
      </c>
    </row>
    <row r="61" customFormat="false" ht="15" hidden="false" customHeight="false" outlineLevel="0" collapsed="false">
      <c r="A61" s="6" t="s">
        <v>70</v>
      </c>
      <c r="B61" s="6" t="s">
        <v>119</v>
      </c>
      <c r="C61" s="6" t="s">
        <v>271</v>
      </c>
      <c r="D61" s="6" t="s">
        <v>165</v>
      </c>
      <c r="E61" s="6" t="s">
        <v>272</v>
      </c>
    </row>
    <row r="62" customFormat="false" ht="15" hidden="false" customHeight="false" outlineLevel="0" collapsed="false">
      <c r="A62" s="6" t="s">
        <v>74</v>
      </c>
      <c r="B62" s="6" t="s">
        <v>123</v>
      </c>
      <c r="C62" s="6" t="s">
        <v>273</v>
      </c>
      <c r="D62" s="6" t="s">
        <v>161</v>
      </c>
      <c r="E62" s="6" t="s">
        <v>274</v>
      </c>
    </row>
    <row r="63" customFormat="false" ht="15" hidden="false" customHeight="false" outlineLevel="0" collapsed="false">
      <c r="A63" s="6" t="s">
        <v>74</v>
      </c>
      <c r="B63" s="6" t="s">
        <v>123</v>
      </c>
      <c r="C63" s="6" t="s">
        <v>275</v>
      </c>
      <c r="D63" s="6" t="s">
        <v>165</v>
      </c>
      <c r="E63" s="6" t="s">
        <v>276</v>
      </c>
    </row>
    <row r="64" customFormat="false" ht="15" hidden="false" customHeight="false" outlineLevel="0" collapsed="false">
      <c r="A64" s="6" t="s">
        <v>74</v>
      </c>
      <c r="B64" s="6" t="s">
        <v>123</v>
      </c>
      <c r="C64" s="6" t="s">
        <v>277</v>
      </c>
      <c r="D64" s="6" t="s">
        <v>165</v>
      </c>
      <c r="E64" s="6" t="s">
        <v>278</v>
      </c>
    </row>
    <row r="65" customFormat="false" ht="15" hidden="false" customHeight="false" outlineLevel="0" collapsed="false">
      <c r="A65" s="6" t="s">
        <v>74</v>
      </c>
      <c r="B65" s="6" t="s">
        <v>123</v>
      </c>
      <c r="C65" s="6" t="s">
        <v>279</v>
      </c>
      <c r="D65" s="6" t="s">
        <v>165</v>
      </c>
      <c r="E65" s="6" t="s">
        <v>280</v>
      </c>
    </row>
    <row r="66" customFormat="false" ht="15" hidden="false" customHeight="false" outlineLevel="0" collapsed="false">
      <c r="A66" s="6" t="s">
        <v>74</v>
      </c>
      <c r="B66" s="6" t="s">
        <v>123</v>
      </c>
      <c r="C66" s="6" t="s">
        <v>281</v>
      </c>
      <c r="D66" s="6" t="s">
        <v>165</v>
      </c>
      <c r="E66" s="6" t="s">
        <v>282</v>
      </c>
    </row>
    <row r="67" customFormat="false" ht="15" hidden="false" customHeight="false" outlineLevel="0" collapsed="false">
      <c r="A67" s="6" t="s">
        <v>74</v>
      </c>
      <c r="B67" s="6" t="s">
        <v>126</v>
      </c>
      <c r="C67" s="6" t="s">
        <v>283</v>
      </c>
      <c r="D67" s="6" t="s">
        <v>161</v>
      </c>
      <c r="E67" s="6" t="s">
        <v>284</v>
      </c>
    </row>
    <row r="68" customFormat="false" ht="15" hidden="false" customHeight="false" outlineLevel="0" collapsed="false">
      <c r="A68" s="6" t="s">
        <v>74</v>
      </c>
      <c r="B68" s="6" t="s">
        <v>126</v>
      </c>
      <c r="C68" s="6" t="s">
        <v>285</v>
      </c>
      <c r="D68" s="6" t="s">
        <v>165</v>
      </c>
      <c r="E68" s="6" t="s">
        <v>286</v>
      </c>
    </row>
    <row r="69" customFormat="false" ht="15" hidden="false" customHeight="false" outlineLevel="0" collapsed="false">
      <c r="A69" s="6" t="s">
        <v>74</v>
      </c>
      <c r="B69" s="6" t="s">
        <v>126</v>
      </c>
      <c r="C69" s="6" t="s">
        <v>287</v>
      </c>
      <c r="D69" s="6" t="s">
        <v>165</v>
      </c>
      <c r="E69" s="6" t="s">
        <v>288</v>
      </c>
    </row>
    <row r="70" customFormat="false" ht="15" hidden="false" customHeight="false" outlineLevel="0" collapsed="false">
      <c r="A70" s="6" t="s">
        <v>74</v>
      </c>
      <c r="B70" s="6" t="s">
        <v>126</v>
      </c>
      <c r="C70" s="6" t="s">
        <v>289</v>
      </c>
      <c r="D70" s="6" t="s">
        <v>165</v>
      </c>
      <c r="E70" s="6" t="s">
        <v>290</v>
      </c>
    </row>
    <row r="71" customFormat="false" ht="15" hidden="false" customHeight="false" outlineLevel="0" collapsed="false">
      <c r="A71" s="6" t="s">
        <v>74</v>
      </c>
      <c r="B71" s="6" t="s">
        <v>129</v>
      </c>
      <c r="C71" s="6" t="s">
        <v>291</v>
      </c>
      <c r="D71" s="6" t="s">
        <v>161</v>
      </c>
      <c r="E71" s="6" t="s">
        <v>292</v>
      </c>
    </row>
    <row r="72" customFormat="false" ht="15" hidden="false" customHeight="false" outlineLevel="0" collapsed="false">
      <c r="A72" s="6" t="s">
        <v>74</v>
      </c>
      <c r="B72" s="6" t="s">
        <v>129</v>
      </c>
      <c r="C72" s="6" t="s">
        <v>293</v>
      </c>
      <c r="D72" s="6" t="s">
        <v>165</v>
      </c>
      <c r="E72" s="6" t="s">
        <v>294</v>
      </c>
    </row>
    <row r="73" customFormat="false" ht="15" hidden="false" customHeight="false" outlineLevel="0" collapsed="false">
      <c r="A73" s="6" t="s">
        <v>74</v>
      </c>
      <c r="B73" s="6" t="s">
        <v>129</v>
      </c>
      <c r="C73" s="6" t="s">
        <v>295</v>
      </c>
      <c r="D73" s="6" t="s">
        <v>165</v>
      </c>
      <c r="E73" s="6" t="s">
        <v>296</v>
      </c>
    </row>
    <row r="74" customFormat="false" ht="15" hidden="false" customHeight="false" outlineLevel="0" collapsed="false">
      <c r="A74" s="6" t="s">
        <v>74</v>
      </c>
      <c r="B74" s="6" t="s">
        <v>129</v>
      </c>
      <c r="C74" s="6" t="s">
        <v>297</v>
      </c>
      <c r="D74" s="6" t="s">
        <v>165</v>
      </c>
      <c r="E74" s="6" t="s">
        <v>298</v>
      </c>
    </row>
    <row r="75" customFormat="false" ht="15" hidden="false" customHeight="false" outlineLevel="0" collapsed="false">
      <c r="A75" s="6" t="s">
        <v>74</v>
      </c>
      <c r="B75" s="6" t="s">
        <v>129</v>
      </c>
      <c r="C75" s="6" t="s">
        <v>299</v>
      </c>
      <c r="D75" s="6" t="s">
        <v>165</v>
      </c>
      <c r="E75" s="6" t="s">
        <v>300</v>
      </c>
    </row>
    <row r="76" customFormat="false" ht="15" hidden="false" customHeight="false" outlineLevel="0" collapsed="false">
      <c r="A76" s="6" t="s">
        <v>74</v>
      </c>
      <c r="B76" s="6" t="s">
        <v>129</v>
      </c>
      <c r="C76" s="6" t="s">
        <v>301</v>
      </c>
      <c r="D76" s="6" t="s">
        <v>165</v>
      </c>
      <c r="E76" s="6" t="s">
        <v>302</v>
      </c>
    </row>
    <row r="77" customFormat="false" ht="15" hidden="false" customHeight="false" outlineLevel="0" collapsed="false">
      <c r="A77" s="6" t="s">
        <v>74</v>
      </c>
      <c r="B77" s="6" t="s">
        <v>129</v>
      </c>
      <c r="C77" s="6" t="s">
        <v>303</v>
      </c>
      <c r="D77" s="6" t="s">
        <v>165</v>
      </c>
      <c r="E77" s="6" t="s">
        <v>304</v>
      </c>
    </row>
    <row r="78" customFormat="false" ht="15" hidden="false" customHeight="false" outlineLevel="0" collapsed="false">
      <c r="A78" s="6" t="s">
        <v>74</v>
      </c>
      <c r="B78" s="6" t="s">
        <v>132</v>
      </c>
      <c r="C78" s="6" t="s">
        <v>305</v>
      </c>
      <c r="D78" s="6" t="s">
        <v>161</v>
      </c>
      <c r="E78" s="6" t="s">
        <v>306</v>
      </c>
    </row>
    <row r="79" customFormat="false" ht="15" hidden="false" customHeight="false" outlineLevel="0" collapsed="false">
      <c r="A79" s="6" t="s">
        <v>74</v>
      </c>
      <c r="B79" s="6" t="s">
        <v>132</v>
      </c>
      <c r="C79" s="6" t="s">
        <v>307</v>
      </c>
      <c r="D79" s="6" t="s">
        <v>165</v>
      </c>
      <c r="E79" s="6" t="s">
        <v>308</v>
      </c>
    </row>
    <row r="80" customFormat="false" ht="15" hidden="false" customHeight="false" outlineLevel="0" collapsed="false">
      <c r="A80" s="6" t="s">
        <v>74</v>
      </c>
      <c r="B80" s="6" t="s">
        <v>132</v>
      </c>
      <c r="C80" s="6" t="s">
        <v>309</v>
      </c>
      <c r="D80" s="6" t="s">
        <v>165</v>
      </c>
      <c r="E80" s="6" t="s">
        <v>310</v>
      </c>
    </row>
    <row r="81" customFormat="false" ht="15" hidden="false" customHeight="false" outlineLevel="0" collapsed="false">
      <c r="A81" s="6" t="s">
        <v>74</v>
      </c>
      <c r="B81" s="6" t="s">
        <v>132</v>
      </c>
      <c r="C81" s="6" t="s">
        <v>311</v>
      </c>
      <c r="D81" s="6" t="s">
        <v>165</v>
      </c>
      <c r="E81" s="6" t="s">
        <v>312</v>
      </c>
    </row>
    <row r="82" customFormat="false" ht="15" hidden="false" customHeight="false" outlineLevel="0" collapsed="false">
      <c r="A82" s="6" t="s">
        <v>74</v>
      </c>
      <c r="B82" s="6" t="s">
        <v>132</v>
      </c>
      <c r="C82" s="6" t="s">
        <v>313</v>
      </c>
      <c r="D82" s="6" t="s">
        <v>165</v>
      </c>
      <c r="E82" s="6" t="s">
        <v>314</v>
      </c>
    </row>
    <row r="83" customFormat="false" ht="15" hidden="false" customHeight="false" outlineLevel="0" collapsed="false">
      <c r="A83" s="6" t="s">
        <v>74</v>
      </c>
      <c r="B83" s="6" t="s">
        <v>135</v>
      </c>
      <c r="C83" s="6" t="s">
        <v>315</v>
      </c>
      <c r="D83" s="6" t="s">
        <v>161</v>
      </c>
      <c r="E83" s="6" t="s">
        <v>316</v>
      </c>
    </row>
    <row r="84" customFormat="false" ht="15" hidden="false" customHeight="false" outlineLevel="0" collapsed="false">
      <c r="A84" s="6" t="s">
        <v>74</v>
      </c>
      <c r="B84" s="6" t="s">
        <v>135</v>
      </c>
      <c r="C84" s="6" t="s">
        <v>317</v>
      </c>
      <c r="D84" s="6" t="s">
        <v>165</v>
      </c>
      <c r="E84" s="6" t="s">
        <v>318</v>
      </c>
    </row>
    <row r="85" customFormat="false" ht="15" hidden="false" customHeight="false" outlineLevel="0" collapsed="false">
      <c r="A85" s="6" t="s">
        <v>74</v>
      </c>
      <c r="B85" s="6" t="s">
        <v>135</v>
      </c>
      <c r="C85" s="6" t="s">
        <v>319</v>
      </c>
      <c r="D85" s="6" t="s">
        <v>165</v>
      </c>
      <c r="E85" s="6" t="s">
        <v>320</v>
      </c>
    </row>
    <row r="86" customFormat="false" ht="15" hidden="false" customHeight="false" outlineLevel="0" collapsed="false">
      <c r="A86" s="6" t="s">
        <v>74</v>
      </c>
      <c r="B86" s="6" t="s">
        <v>135</v>
      </c>
      <c r="C86" s="6" t="s">
        <v>321</v>
      </c>
      <c r="D86" s="6" t="s">
        <v>165</v>
      </c>
      <c r="E86" s="6" t="s">
        <v>322</v>
      </c>
    </row>
    <row r="87" customFormat="false" ht="15" hidden="false" customHeight="false" outlineLevel="0" collapsed="false">
      <c r="A87" s="6" t="s">
        <v>74</v>
      </c>
      <c r="B87" s="6" t="s">
        <v>138</v>
      </c>
      <c r="C87" s="6" t="s">
        <v>323</v>
      </c>
      <c r="D87" s="6" t="s">
        <v>161</v>
      </c>
      <c r="E87" s="6" t="s">
        <v>324</v>
      </c>
    </row>
    <row r="88" customFormat="false" ht="15" hidden="false" customHeight="false" outlineLevel="0" collapsed="false">
      <c r="A88" s="6" t="s">
        <v>74</v>
      </c>
      <c r="B88" s="6" t="s">
        <v>138</v>
      </c>
      <c r="C88" s="6" t="s">
        <v>325</v>
      </c>
      <c r="D88" s="6" t="s">
        <v>165</v>
      </c>
      <c r="E88" s="6" t="s">
        <v>326</v>
      </c>
    </row>
    <row r="89" customFormat="false" ht="15" hidden="false" customHeight="false" outlineLevel="0" collapsed="false">
      <c r="A89" s="6" t="s">
        <v>74</v>
      </c>
      <c r="B89" s="6" t="s">
        <v>138</v>
      </c>
      <c r="C89" s="6" t="s">
        <v>327</v>
      </c>
      <c r="D89" s="6" t="s">
        <v>165</v>
      </c>
      <c r="E89" s="6" t="s">
        <v>328</v>
      </c>
    </row>
    <row r="90" customFormat="false" ht="15" hidden="false" customHeight="false" outlineLevel="0" collapsed="false">
      <c r="A90" s="6" t="s">
        <v>77</v>
      </c>
      <c r="B90" s="6" t="s">
        <v>142</v>
      </c>
      <c r="C90" s="6" t="s">
        <v>329</v>
      </c>
      <c r="D90" s="6" t="s">
        <v>165</v>
      </c>
      <c r="E90" s="6" t="s">
        <v>330</v>
      </c>
    </row>
    <row r="91" customFormat="false" ht="15" hidden="false" customHeight="false" outlineLevel="0" collapsed="false">
      <c r="A91" s="6" t="s">
        <v>77</v>
      </c>
      <c r="B91" s="6" t="s">
        <v>142</v>
      </c>
      <c r="C91" s="6" t="s">
        <v>331</v>
      </c>
      <c r="D91" s="6" t="s">
        <v>165</v>
      </c>
      <c r="E91" s="6" t="s">
        <v>332</v>
      </c>
    </row>
    <row r="92" customFormat="false" ht="15" hidden="false" customHeight="false" outlineLevel="0" collapsed="false">
      <c r="A92" s="6" t="s">
        <v>77</v>
      </c>
      <c r="B92" s="6" t="s">
        <v>142</v>
      </c>
      <c r="C92" s="6" t="s">
        <v>333</v>
      </c>
      <c r="D92" s="6" t="s">
        <v>165</v>
      </c>
      <c r="E92" s="6" t="s">
        <v>334</v>
      </c>
    </row>
    <row r="93" customFormat="false" ht="15" hidden="false" customHeight="false" outlineLevel="0" collapsed="false">
      <c r="A93" s="6" t="s">
        <v>77</v>
      </c>
      <c r="B93" s="6" t="s">
        <v>142</v>
      </c>
      <c r="C93" s="6" t="s">
        <v>335</v>
      </c>
      <c r="D93" s="6" t="s">
        <v>165</v>
      </c>
      <c r="E93" s="6" t="s">
        <v>336</v>
      </c>
    </row>
    <row r="94" customFormat="false" ht="15" hidden="false" customHeight="false" outlineLevel="0" collapsed="false">
      <c r="A94" s="6" t="s">
        <v>77</v>
      </c>
      <c r="B94" s="6" t="s">
        <v>142</v>
      </c>
      <c r="C94" s="6" t="s">
        <v>337</v>
      </c>
      <c r="D94" s="6" t="s">
        <v>165</v>
      </c>
      <c r="E94" s="6" t="s">
        <v>338</v>
      </c>
    </row>
    <row r="95" customFormat="false" ht="15" hidden="false" customHeight="false" outlineLevel="0" collapsed="false">
      <c r="A95" s="6" t="s">
        <v>77</v>
      </c>
      <c r="B95" s="6" t="s">
        <v>142</v>
      </c>
      <c r="C95" s="6" t="s">
        <v>339</v>
      </c>
      <c r="D95" s="6" t="s">
        <v>165</v>
      </c>
      <c r="E95" s="6" t="s">
        <v>340</v>
      </c>
    </row>
    <row r="96" customFormat="false" ht="15" hidden="false" customHeight="false" outlineLevel="0" collapsed="false">
      <c r="A96" s="6" t="s">
        <v>77</v>
      </c>
      <c r="B96" s="6" t="s">
        <v>147</v>
      </c>
      <c r="C96" s="6" t="s">
        <v>341</v>
      </c>
      <c r="D96" s="6" t="s">
        <v>165</v>
      </c>
      <c r="E96" s="6" t="s">
        <v>342</v>
      </c>
    </row>
    <row r="97" customFormat="false" ht="15" hidden="false" customHeight="false" outlineLevel="0" collapsed="false">
      <c r="A97" s="6" t="s">
        <v>77</v>
      </c>
      <c r="B97" s="6" t="s">
        <v>147</v>
      </c>
      <c r="C97" s="6" t="s">
        <v>343</v>
      </c>
      <c r="D97" s="6" t="s">
        <v>165</v>
      </c>
      <c r="E97" s="6" t="s">
        <v>344</v>
      </c>
    </row>
    <row r="98" customFormat="false" ht="15" hidden="false" customHeight="false" outlineLevel="0" collapsed="false">
      <c r="A98" s="6" t="s">
        <v>77</v>
      </c>
      <c r="B98" s="6" t="s">
        <v>147</v>
      </c>
      <c r="C98" s="6" t="s">
        <v>345</v>
      </c>
      <c r="D98" s="6" t="s">
        <v>165</v>
      </c>
      <c r="E98" s="6" t="s">
        <v>346</v>
      </c>
    </row>
    <row r="99" customFormat="false" ht="15" hidden="false" customHeight="false" outlineLevel="0" collapsed="false">
      <c r="A99" s="6" t="s">
        <v>77</v>
      </c>
      <c r="B99" s="6" t="s">
        <v>147</v>
      </c>
      <c r="C99" s="6" t="s">
        <v>347</v>
      </c>
      <c r="D99" s="6" t="s">
        <v>165</v>
      </c>
      <c r="E99" s="6" t="s">
        <v>348</v>
      </c>
    </row>
    <row r="100" customFormat="false" ht="15" hidden="false" customHeight="false" outlineLevel="0" collapsed="false">
      <c r="A100" s="6" t="s">
        <v>77</v>
      </c>
      <c r="B100" s="6" t="s">
        <v>147</v>
      </c>
      <c r="C100" s="6" t="s">
        <v>349</v>
      </c>
      <c r="D100" s="6" t="s">
        <v>165</v>
      </c>
      <c r="E100" s="6" t="s">
        <v>350</v>
      </c>
    </row>
    <row r="101" customFormat="false" ht="15" hidden="false" customHeight="false" outlineLevel="0" collapsed="false">
      <c r="A101" s="6" t="s">
        <v>77</v>
      </c>
      <c r="B101" s="6" t="s">
        <v>147</v>
      </c>
      <c r="C101" s="6" t="s">
        <v>351</v>
      </c>
      <c r="D101" s="6" t="s">
        <v>165</v>
      </c>
      <c r="E101" s="6" t="s">
        <v>352</v>
      </c>
    </row>
    <row r="102" customFormat="false" ht="15" hidden="false" customHeight="false" outlineLevel="0" collapsed="false">
      <c r="A102" s="6" t="s">
        <v>80</v>
      </c>
      <c r="B102" s="6" t="s">
        <v>149</v>
      </c>
      <c r="C102" s="6" t="s">
        <v>353</v>
      </c>
      <c r="D102" s="6" t="s">
        <v>354</v>
      </c>
      <c r="E102" s="6" t="s">
        <v>355</v>
      </c>
    </row>
    <row r="104" customFormat="false" ht="15" hidden="false" customHeight="false" outlineLevel="0" collapsed="false">
      <c r="A104" s="15" t="s">
        <v>356</v>
      </c>
      <c r="B104" s="15"/>
      <c r="C104" s="15"/>
      <c r="D104" s="15"/>
      <c r="E104" s="15"/>
    </row>
  </sheetData>
  <mergeCells count="3">
    <mergeCell ref="A1:E1"/>
    <mergeCell ref="A2:E2"/>
    <mergeCell ref="A104:E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24.45" hidden="false" customHeight="false" outlineLevel="0" collapsed="false">
      <c r="A1" s="1" t="s">
        <v>357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358</v>
      </c>
      <c r="B2" s="2"/>
      <c r="C2" s="2"/>
      <c r="D2" s="2"/>
      <c r="E2" s="2"/>
    </row>
    <row r="4" customFormat="false" ht="26.85" hidden="false" customHeight="false" outlineLevel="0" collapsed="false">
      <c r="A4" s="4" t="s">
        <v>87</v>
      </c>
      <c r="B4" s="4" t="s">
        <v>359</v>
      </c>
      <c r="C4" s="4" t="s">
        <v>360</v>
      </c>
      <c r="D4" s="4" t="s">
        <v>361</v>
      </c>
      <c r="E4" s="4" t="s">
        <v>362</v>
      </c>
      <c r="F4" s="4" t="s">
        <v>363</v>
      </c>
    </row>
    <row r="5" customFormat="false" ht="15" hidden="false" customHeight="false" outlineLevel="0" collapsed="false">
      <c r="A5" s="16" t="s">
        <v>364</v>
      </c>
      <c r="B5" s="16"/>
      <c r="C5" s="16"/>
      <c r="D5" s="16"/>
      <c r="E5" s="16"/>
      <c r="F5" s="16"/>
    </row>
    <row r="6" customFormat="false" ht="15" hidden="false" customHeight="false" outlineLevel="0" collapsed="false">
      <c r="A6" s="6" t="s">
        <v>61</v>
      </c>
      <c r="B6" s="6" t="s">
        <v>365</v>
      </c>
      <c r="C6" s="6" t="s">
        <v>366</v>
      </c>
      <c r="D6" s="6" t="s">
        <v>367</v>
      </c>
      <c r="E6" s="6" t="n">
        <v>19</v>
      </c>
      <c r="F6" s="6" t="s">
        <v>368</v>
      </c>
    </row>
    <row r="7" customFormat="false" ht="15" hidden="false" customHeight="false" outlineLevel="0" collapsed="false">
      <c r="A7" s="6" t="s">
        <v>61</v>
      </c>
      <c r="B7" s="6" t="s">
        <v>365</v>
      </c>
      <c r="C7" s="6" t="s">
        <v>369</v>
      </c>
      <c r="D7" s="6" t="s">
        <v>370</v>
      </c>
      <c r="E7" s="6" t="n">
        <v>21</v>
      </c>
      <c r="F7" s="6" t="s">
        <v>371</v>
      </c>
    </row>
    <row r="8" customFormat="false" ht="15" hidden="false" customHeight="false" outlineLevel="0" collapsed="false">
      <c r="A8" s="6" t="s">
        <v>61</v>
      </c>
      <c r="B8" s="6" t="s">
        <v>365</v>
      </c>
      <c r="C8" s="6" t="s">
        <v>372</v>
      </c>
      <c r="D8" s="6" t="s">
        <v>373</v>
      </c>
      <c r="E8" s="6" t="n">
        <v>23</v>
      </c>
      <c r="F8" s="6" t="s">
        <v>374</v>
      </c>
    </row>
    <row r="9" customFormat="false" ht="15" hidden="false" customHeight="false" outlineLevel="0" collapsed="false">
      <c r="A9" s="6" t="s">
        <v>61</v>
      </c>
      <c r="B9" s="6" t="s">
        <v>365</v>
      </c>
      <c r="C9" s="6" t="s">
        <v>375</v>
      </c>
      <c r="D9" s="6" t="s">
        <v>376</v>
      </c>
      <c r="E9" s="6" t="n">
        <v>21</v>
      </c>
      <c r="F9" s="6" t="s">
        <v>371</v>
      </c>
    </row>
    <row r="10" customFormat="false" ht="15" hidden="false" customHeight="false" outlineLevel="0" collapsed="false">
      <c r="A10" s="6" t="s">
        <v>61</v>
      </c>
      <c r="B10" s="6" t="s">
        <v>365</v>
      </c>
      <c r="C10" s="6" t="s">
        <v>377</v>
      </c>
      <c r="D10" s="6" t="s">
        <v>378</v>
      </c>
      <c r="E10" s="6" t="n">
        <v>26</v>
      </c>
      <c r="F10" s="6" t="s">
        <v>379</v>
      </c>
    </row>
    <row r="11" customFormat="false" ht="15" hidden="false" customHeight="false" outlineLevel="0" collapsed="false">
      <c r="A11" s="6" t="s">
        <v>61</v>
      </c>
      <c r="B11" s="6" t="s">
        <v>365</v>
      </c>
      <c r="C11" s="6" t="s">
        <v>380</v>
      </c>
      <c r="D11" s="6" t="s">
        <v>381</v>
      </c>
      <c r="E11" s="6" t="n">
        <v>24</v>
      </c>
      <c r="F11" s="6" t="s">
        <v>382</v>
      </c>
    </row>
    <row r="12" customFormat="false" ht="15" hidden="false" customHeight="false" outlineLevel="0" collapsed="false">
      <c r="A12" s="6" t="s">
        <v>61</v>
      </c>
      <c r="B12" s="6" t="s">
        <v>365</v>
      </c>
      <c r="C12" s="6" t="s">
        <v>383</v>
      </c>
      <c r="D12" s="6" t="s">
        <v>384</v>
      </c>
      <c r="E12" s="6" t="n">
        <v>24</v>
      </c>
      <c r="F12" s="6" t="s">
        <v>382</v>
      </c>
    </row>
    <row r="13" customFormat="false" ht="15" hidden="false" customHeight="false" outlineLevel="0" collapsed="false">
      <c r="A13" s="6" t="s">
        <v>61</v>
      </c>
      <c r="B13" s="6" t="s">
        <v>365</v>
      </c>
      <c r="C13" s="6" t="s">
        <v>385</v>
      </c>
      <c r="D13" s="6" t="s">
        <v>386</v>
      </c>
      <c r="E13" s="6" t="n">
        <v>20</v>
      </c>
      <c r="F13" s="6" t="s">
        <v>387</v>
      </c>
    </row>
    <row r="14" customFormat="false" ht="15" hidden="false" customHeight="false" outlineLevel="0" collapsed="false">
      <c r="A14" s="6" t="s">
        <v>61</v>
      </c>
      <c r="B14" s="6" t="s">
        <v>388</v>
      </c>
      <c r="C14" s="6" t="s">
        <v>389</v>
      </c>
      <c r="D14" s="6" t="s">
        <v>390</v>
      </c>
      <c r="E14" s="6" t="n">
        <v>80</v>
      </c>
      <c r="F14" s="6" t="s">
        <v>391</v>
      </c>
    </row>
    <row r="15" customFormat="false" ht="23.85" hidden="false" customHeight="false" outlineLevel="0" collapsed="false">
      <c r="A15" s="6" t="s">
        <v>61</v>
      </c>
      <c r="B15" s="6" t="s">
        <v>388</v>
      </c>
      <c r="C15" s="6" t="s">
        <v>392</v>
      </c>
      <c r="D15" s="6" t="s">
        <v>393</v>
      </c>
      <c r="E15" s="6" t="n">
        <v>85</v>
      </c>
      <c r="F15" s="6" t="s">
        <v>394</v>
      </c>
    </row>
    <row r="16" customFormat="false" ht="23.85" hidden="false" customHeight="false" outlineLevel="0" collapsed="false">
      <c r="A16" s="6" t="s">
        <v>61</v>
      </c>
      <c r="B16" s="6" t="s">
        <v>388</v>
      </c>
      <c r="C16" s="6" t="s">
        <v>395</v>
      </c>
      <c r="D16" s="6" t="s">
        <v>396</v>
      </c>
      <c r="E16" s="6" t="n">
        <v>89</v>
      </c>
      <c r="F16" s="6" t="s">
        <v>397</v>
      </c>
    </row>
    <row r="17" customFormat="false" ht="23.85" hidden="false" customHeight="false" outlineLevel="0" collapsed="false">
      <c r="A17" s="6" t="s">
        <v>61</v>
      </c>
      <c r="B17" s="6" t="s">
        <v>388</v>
      </c>
      <c r="C17" s="6" t="s">
        <v>398</v>
      </c>
      <c r="D17" s="6" t="s">
        <v>399</v>
      </c>
      <c r="E17" s="6" t="n">
        <v>88</v>
      </c>
      <c r="F17" s="6" t="s">
        <v>400</v>
      </c>
    </row>
    <row r="18" customFormat="false" ht="15" hidden="false" customHeight="false" outlineLevel="0" collapsed="false">
      <c r="A18" s="6" t="s">
        <v>61</v>
      </c>
      <c r="B18" s="6" t="s">
        <v>401</v>
      </c>
      <c r="C18" s="6" t="s">
        <v>402</v>
      </c>
      <c r="D18" s="6" t="s">
        <v>403</v>
      </c>
      <c r="E18" s="6" t="n">
        <v>4</v>
      </c>
      <c r="F18" s="6" t="s">
        <v>404</v>
      </c>
    </row>
    <row r="19" customFormat="false" ht="15" hidden="false" customHeight="false" outlineLevel="0" collapsed="false">
      <c r="A19" s="6" t="s">
        <v>61</v>
      </c>
      <c r="B19" s="6" t="s">
        <v>401</v>
      </c>
      <c r="C19" s="6" t="s">
        <v>405</v>
      </c>
      <c r="D19" s="6" t="s">
        <v>406</v>
      </c>
      <c r="E19" s="6" t="n">
        <v>7</v>
      </c>
      <c r="F19" s="6" t="s">
        <v>407</v>
      </c>
    </row>
    <row r="21" customFormat="false" ht="15" hidden="false" customHeight="false" outlineLevel="0" collapsed="false">
      <c r="A21" s="16" t="s">
        <v>408</v>
      </c>
      <c r="B21" s="16"/>
      <c r="C21" s="16"/>
      <c r="D21" s="16"/>
      <c r="E21" s="16"/>
      <c r="F21" s="16"/>
    </row>
    <row r="22" customFormat="false" ht="15" hidden="false" customHeight="false" outlineLevel="0" collapsed="false">
      <c r="A22" s="6" t="s">
        <v>67</v>
      </c>
      <c r="B22" s="6" t="s">
        <v>365</v>
      </c>
      <c r="C22" s="6" t="s">
        <v>366</v>
      </c>
      <c r="D22" s="6" t="s">
        <v>409</v>
      </c>
      <c r="E22" s="6" t="n">
        <v>16</v>
      </c>
      <c r="F22" s="6" t="s">
        <v>410</v>
      </c>
    </row>
    <row r="23" customFormat="false" ht="15" hidden="false" customHeight="false" outlineLevel="0" collapsed="false">
      <c r="A23" s="6" t="s">
        <v>67</v>
      </c>
      <c r="B23" s="6" t="s">
        <v>365</v>
      </c>
      <c r="C23" s="6" t="s">
        <v>369</v>
      </c>
      <c r="D23" s="6" t="s">
        <v>411</v>
      </c>
      <c r="E23" s="6" t="n">
        <v>22</v>
      </c>
      <c r="F23" s="6" t="s">
        <v>412</v>
      </c>
    </row>
    <row r="24" customFormat="false" ht="15" hidden="false" customHeight="false" outlineLevel="0" collapsed="false">
      <c r="A24" s="6" t="s">
        <v>67</v>
      </c>
      <c r="B24" s="6" t="s">
        <v>365</v>
      </c>
      <c r="C24" s="6" t="s">
        <v>372</v>
      </c>
      <c r="D24" s="6" t="s">
        <v>413</v>
      </c>
      <c r="E24" s="6" t="n">
        <v>28</v>
      </c>
      <c r="F24" s="6" t="s">
        <v>414</v>
      </c>
    </row>
    <row r="25" customFormat="false" ht="15" hidden="false" customHeight="false" outlineLevel="0" collapsed="false">
      <c r="A25" s="6" t="s">
        <v>67</v>
      </c>
      <c r="B25" s="6" t="s">
        <v>365</v>
      </c>
      <c r="C25" s="6" t="s">
        <v>375</v>
      </c>
      <c r="D25" s="6" t="s">
        <v>373</v>
      </c>
      <c r="E25" s="6" t="n">
        <v>23</v>
      </c>
      <c r="F25" s="6" t="s">
        <v>374</v>
      </c>
    </row>
    <row r="26" customFormat="false" ht="15" hidden="false" customHeight="false" outlineLevel="0" collapsed="false">
      <c r="A26" s="6" t="s">
        <v>67</v>
      </c>
      <c r="B26" s="6" t="s">
        <v>365</v>
      </c>
      <c r="C26" s="6" t="s">
        <v>377</v>
      </c>
      <c r="D26" s="6" t="s">
        <v>415</v>
      </c>
      <c r="E26" s="6" t="n">
        <v>24</v>
      </c>
      <c r="F26" s="6" t="s">
        <v>382</v>
      </c>
    </row>
    <row r="27" customFormat="false" ht="15" hidden="false" customHeight="false" outlineLevel="0" collapsed="false">
      <c r="A27" s="6" t="s">
        <v>67</v>
      </c>
      <c r="B27" s="6" t="s">
        <v>365</v>
      </c>
      <c r="C27" s="6" t="s">
        <v>380</v>
      </c>
      <c r="D27" s="6" t="s">
        <v>416</v>
      </c>
      <c r="E27" s="6" t="n">
        <v>25</v>
      </c>
      <c r="F27" s="6" t="s">
        <v>417</v>
      </c>
    </row>
    <row r="28" customFormat="false" ht="15" hidden="false" customHeight="false" outlineLevel="0" collapsed="false">
      <c r="A28" s="6" t="s">
        <v>67</v>
      </c>
      <c r="B28" s="6" t="s">
        <v>365</v>
      </c>
      <c r="C28" s="6" t="s">
        <v>383</v>
      </c>
      <c r="D28" s="6" t="s">
        <v>418</v>
      </c>
      <c r="E28" s="6" t="n">
        <v>20</v>
      </c>
      <c r="F28" s="6" t="s">
        <v>387</v>
      </c>
    </row>
    <row r="29" customFormat="false" ht="15" hidden="false" customHeight="false" outlineLevel="0" collapsed="false">
      <c r="A29" s="6" t="s">
        <v>67</v>
      </c>
      <c r="B29" s="6" t="s">
        <v>365</v>
      </c>
      <c r="C29" s="6" t="s">
        <v>385</v>
      </c>
      <c r="D29" s="6" t="s">
        <v>419</v>
      </c>
      <c r="E29" s="6" t="n">
        <v>24</v>
      </c>
      <c r="F29" s="6" t="s">
        <v>382</v>
      </c>
    </row>
    <row r="30" customFormat="false" ht="15" hidden="false" customHeight="false" outlineLevel="0" collapsed="false">
      <c r="A30" s="6" t="s">
        <v>67</v>
      </c>
      <c r="B30" s="6" t="s">
        <v>388</v>
      </c>
      <c r="C30" s="6" t="s">
        <v>389</v>
      </c>
      <c r="D30" s="6" t="s">
        <v>420</v>
      </c>
      <c r="E30" s="6" t="n">
        <v>71</v>
      </c>
      <c r="F30" s="6" t="s">
        <v>421</v>
      </c>
    </row>
    <row r="31" customFormat="false" ht="15" hidden="false" customHeight="false" outlineLevel="0" collapsed="false">
      <c r="A31" s="6" t="s">
        <v>67</v>
      </c>
      <c r="B31" s="6" t="s">
        <v>388</v>
      </c>
      <c r="C31" s="6" t="s">
        <v>392</v>
      </c>
      <c r="D31" s="6" t="s">
        <v>422</v>
      </c>
      <c r="E31" s="6" t="n">
        <v>81</v>
      </c>
      <c r="F31" s="6" t="s">
        <v>423</v>
      </c>
    </row>
    <row r="32" customFormat="false" ht="15" hidden="false" customHeight="false" outlineLevel="0" collapsed="false">
      <c r="A32" s="6" t="s">
        <v>67</v>
      </c>
      <c r="B32" s="6" t="s">
        <v>388</v>
      </c>
      <c r="C32" s="6" t="s">
        <v>395</v>
      </c>
      <c r="D32" s="6" t="s">
        <v>424</v>
      </c>
      <c r="E32" s="6" t="n">
        <v>81</v>
      </c>
      <c r="F32" s="6" t="s">
        <v>423</v>
      </c>
    </row>
    <row r="33" customFormat="false" ht="15" hidden="false" customHeight="false" outlineLevel="0" collapsed="false">
      <c r="A33" s="6" t="s">
        <v>67</v>
      </c>
      <c r="B33" s="6" t="s">
        <v>388</v>
      </c>
      <c r="C33" s="6" t="s">
        <v>398</v>
      </c>
      <c r="D33" s="6" t="s">
        <v>425</v>
      </c>
      <c r="E33" s="6" t="n">
        <v>76</v>
      </c>
      <c r="F33" s="6" t="s">
        <v>426</v>
      </c>
    </row>
    <row r="34" customFormat="false" ht="15" hidden="false" customHeight="false" outlineLevel="0" collapsed="false">
      <c r="A34" s="6" t="s">
        <v>67</v>
      </c>
      <c r="B34" s="6" t="s">
        <v>401</v>
      </c>
      <c r="C34" s="6" t="s">
        <v>402</v>
      </c>
      <c r="D34" s="6" t="s">
        <v>403</v>
      </c>
      <c r="E34" s="6" t="n">
        <v>4</v>
      </c>
      <c r="F34" s="6" t="s">
        <v>404</v>
      </c>
    </row>
    <row r="35" customFormat="false" ht="15" hidden="false" customHeight="false" outlineLevel="0" collapsed="false">
      <c r="A35" s="6" t="s">
        <v>67</v>
      </c>
      <c r="B35" s="6" t="s">
        <v>401</v>
      </c>
      <c r="C35" s="6" t="s">
        <v>405</v>
      </c>
      <c r="D35" s="6" t="s">
        <v>427</v>
      </c>
      <c r="E35" s="6" t="n">
        <v>5</v>
      </c>
      <c r="F35" s="6" t="s">
        <v>428</v>
      </c>
    </row>
    <row r="37" customFormat="false" ht="15" hidden="false" customHeight="false" outlineLevel="0" collapsed="false">
      <c r="A37" s="16" t="s">
        <v>429</v>
      </c>
      <c r="B37" s="16"/>
      <c r="C37" s="16"/>
      <c r="D37" s="16"/>
      <c r="E37" s="16"/>
      <c r="F37" s="16"/>
    </row>
    <row r="38" customFormat="false" ht="15" hidden="false" customHeight="false" outlineLevel="0" collapsed="false">
      <c r="A38" s="6" t="s">
        <v>70</v>
      </c>
      <c r="B38" s="6" t="s">
        <v>365</v>
      </c>
      <c r="C38" s="6" t="s">
        <v>366</v>
      </c>
      <c r="D38" s="6" t="s">
        <v>430</v>
      </c>
      <c r="E38" s="6" t="n">
        <v>16</v>
      </c>
      <c r="F38" s="6" t="s">
        <v>410</v>
      </c>
    </row>
    <row r="39" customFormat="false" ht="15" hidden="false" customHeight="false" outlineLevel="0" collapsed="false">
      <c r="A39" s="6" t="s">
        <v>70</v>
      </c>
      <c r="B39" s="6" t="s">
        <v>365</v>
      </c>
      <c r="C39" s="6" t="s">
        <v>369</v>
      </c>
      <c r="D39" s="6" t="s">
        <v>431</v>
      </c>
      <c r="E39" s="6" t="n">
        <v>24</v>
      </c>
      <c r="F39" s="6" t="s">
        <v>382</v>
      </c>
    </row>
    <row r="40" customFormat="false" ht="15" hidden="false" customHeight="false" outlineLevel="0" collapsed="false">
      <c r="A40" s="6" t="s">
        <v>70</v>
      </c>
      <c r="B40" s="6" t="s">
        <v>365</v>
      </c>
      <c r="C40" s="6" t="s">
        <v>372</v>
      </c>
      <c r="D40" s="6" t="s">
        <v>415</v>
      </c>
      <c r="E40" s="6" t="n">
        <v>24</v>
      </c>
      <c r="F40" s="6" t="s">
        <v>382</v>
      </c>
    </row>
    <row r="41" customFormat="false" ht="15" hidden="false" customHeight="false" outlineLevel="0" collapsed="false">
      <c r="A41" s="6" t="s">
        <v>70</v>
      </c>
      <c r="B41" s="6" t="s">
        <v>365</v>
      </c>
      <c r="C41" s="6" t="s">
        <v>375</v>
      </c>
      <c r="D41" s="6" t="s">
        <v>373</v>
      </c>
      <c r="E41" s="6" t="n">
        <v>23</v>
      </c>
      <c r="F41" s="6" t="s">
        <v>374</v>
      </c>
    </row>
    <row r="42" customFormat="false" ht="15" hidden="false" customHeight="false" outlineLevel="0" collapsed="false">
      <c r="A42" s="6" t="s">
        <v>70</v>
      </c>
      <c r="B42" s="6" t="s">
        <v>365</v>
      </c>
      <c r="C42" s="6" t="s">
        <v>377</v>
      </c>
      <c r="D42" s="6" t="s">
        <v>432</v>
      </c>
      <c r="E42" s="6" t="n">
        <v>23</v>
      </c>
      <c r="F42" s="6" t="s">
        <v>374</v>
      </c>
    </row>
    <row r="43" customFormat="false" ht="15" hidden="false" customHeight="false" outlineLevel="0" collapsed="false">
      <c r="A43" s="6" t="s">
        <v>70</v>
      </c>
      <c r="B43" s="6" t="s">
        <v>365</v>
      </c>
      <c r="C43" s="6" t="s">
        <v>380</v>
      </c>
      <c r="D43" s="6" t="s">
        <v>433</v>
      </c>
      <c r="E43" s="6" t="n">
        <v>24</v>
      </c>
      <c r="F43" s="6" t="s">
        <v>382</v>
      </c>
    </row>
    <row r="44" customFormat="false" ht="15" hidden="false" customHeight="false" outlineLevel="0" collapsed="false">
      <c r="A44" s="6" t="s">
        <v>70</v>
      </c>
      <c r="B44" s="6" t="s">
        <v>365</v>
      </c>
      <c r="C44" s="6" t="s">
        <v>383</v>
      </c>
      <c r="D44" s="6" t="s">
        <v>434</v>
      </c>
      <c r="E44" s="6" t="n">
        <v>23</v>
      </c>
      <c r="F44" s="6" t="s">
        <v>374</v>
      </c>
    </row>
    <row r="45" customFormat="false" ht="15" hidden="false" customHeight="false" outlineLevel="0" collapsed="false">
      <c r="A45" s="6" t="s">
        <v>70</v>
      </c>
      <c r="B45" s="6" t="s">
        <v>365</v>
      </c>
      <c r="C45" s="6" t="s">
        <v>385</v>
      </c>
      <c r="D45" s="6" t="s">
        <v>435</v>
      </c>
      <c r="E45" s="6" t="n">
        <v>21</v>
      </c>
      <c r="F45" s="6" t="s">
        <v>371</v>
      </c>
    </row>
    <row r="46" customFormat="false" ht="15" hidden="false" customHeight="false" outlineLevel="0" collapsed="false">
      <c r="A46" s="6" t="s">
        <v>70</v>
      </c>
      <c r="B46" s="6" t="s">
        <v>388</v>
      </c>
      <c r="C46" s="6" t="s">
        <v>389</v>
      </c>
      <c r="D46" s="6" t="s">
        <v>436</v>
      </c>
      <c r="E46" s="6" t="n">
        <v>78</v>
      </c>
      <c r="F46" s="6" t="s">
        <v>437</v>
      </c>
    </row>
    <row r="47" customFormat="false" ht="15" hidden="false" customHeight="false" outlineLevel="0" collapsed="false">
      <c r="A47" s="6" t="s">
        <v>70</v>
      </c>
      <c r="B47" s="6" t="s">
        <v>388</v>
      </c>
      <c r="C47" s="6" t="s">
        <v>392</v>
      </c>
      <c r="D47" s="6" t="s">
        <v>438</v>
      </c>
      <c r="E47" s="6" t="n">
        <v>79</v>
      </c>
      <c r="F47" s="6" t="s">
        <v>439</v>
      </c>
    </row>
    <row r="48" customFormat="false" ht="15" hidden="false" customHeight="false" outlineLevel="0" collapsed="false">
      <c r="A48" s="6" t="s">
        <v>70</v>
      </c>
      <c r="B48" s="6" t="s">
        <v>388</v>
      </c>
      <c r="C48" s="6" t="s">
        <v>395</v>
      </c>
      <c r="D48" s="6" t="s">
        <v>440</v>
      </c>
      <c r="E48" s="6" t="n">
        <v>80</v>
      </c>
      <c r="F48" s="6" t="s">
        <v>391</v>
      </c>
    </row>
    <row r="49" customFormat="false" ht="15" hidden="false" customHeight="false" outlineLevel="0" collapsed="false">
      <c r="A49" s="6" t="s">
        <v>70</v>
      </c>
      <c r="B49" s="6" t="s">
        <v>388</v>
      </c>
      <c r="C49" s="6" t="s">
        <v>398</v>
      </c>
      <c r="D49" s="6" t="s">
        <v>441</v>
      </c>
      <c r="E49" s="6" t="n">
        <v>68</v>
      </c>
      <c r="F49" s="6" t="s">
        <v>442</v>
      </c>
    </row>
    <row r="50" customFormat="false" ht="15" hidden="false" customHeight="false" outlineLevel="0" collapsed="false">
      <c r="A50" s="6" t="s">
        <v>70</v>
      </c>
      <c r="B50" s="6" t="s">
        <v>401</v>
      </c>
      <c r="C50" s="6" t="s">
        <v>402</v>
      </c>
      <c r="D50" s="6" t="s">
        <v>403</v>
      </c>
      <c r="E50" s="6" t="n">
        <v>4</v>
      </c>
      <c r="F50" s="6" t="s">
        <v>404</v>
      </c>
    </row>
    <row r="51" customFormat="false" ht="15" hidden="false" customHeight="false" outlineLevel="0" collapsed="false">
      <c r="A51" s="6" t="s">
        <v>70</v>
      </c>
      <c r="B51" s="6" t="s">
        <v>401</v>
      </c>
      <c r="C51" s="6" t="s">
        <v>405</v>
      </c>
      <c r="D51" s="6" t="s">
        <v>443</v>
      </c>
      <c r="E51" s="6" t="n">
        <v>6</v>
      </c>
      <c r="F51" s="6" t="s">
        <v>444</v>
      </c>
    </row>
    <row r="53" customFormat="false" ht="15" hidden="false" customHeight="false" outlineLevel="0" collapsed="false">
      <c r="A53" s="16" t="s">
        <v>445</v>
      </c>
      <c r="B53" s="16"/>
      <c r="C53" s="16"/>
      <c r="D53" s="16"/>
      <c r="E53" s="16"/>
      <c r="F53" s="16"/>
    </row>
    <row r="54" customFormat="false" ht="15" hidden="false" customHeight="false" outlineLevel="0" collapsed="false">
      <c r="A54" s="6" t="s">
        <v>74</v>
      </c>
      <c r="B54" s="6" t="s">
        <v>365</v>
      </c>
      <c r="C54" s="6" t="s">
        <v>366</v>
      </c>
      <c r="D54" s="6" t="s">
        <v>446</v>
      </c>
      <c r="E54" s="6" t="n">
        <v>18</v>
      </c>
      <c r="F54" s="6" t="s">
        <v>447</v>
      </c>
    </row>
    <row r="55" customFormat="false" ht="15" hidden="false" customHeight="false" outlineLevel="0" collapsed="false">
      <c r="A55" s="6" t="s">
        <v>74</v>
      </c>
      <c r="B55" s="6" t="s">
        <v>365</v>
      </c>
      <c r="C55" s="6" t="s">
        <v>369</v>
      </c>
      <c r="D55" s="6" t="s">
        <v>448</v>
      </c>
      <c r="E55" s="6" t="n">
        <v>29</v>
      </c>
      <c r="F55" s="6" t="s">
        <v>449</v>
      </c>
    </row>
    <row r="56" customFormat="false" ht="15" hidden="false" customHeight="false" outlineLevel="0" collapsed="false">
      <c r="A56" s="6" t="s">
        <v>74</v>
      </c>
      <c r="B56" s="6" t="s">
        <v>365</v>
      </c>
      <c r="C56" s="6" t="s">
        <v>372</v>
      </c>
      <c r="D56" s="6" t="s">
        <v>450</v>
      </c>
      <c r="E56" s="6" t="n">
        <v>16</v>
      </c>
      <c r="F56" s="6" t="s">
        <v>410</v>
      </c>
    </row>
    <row r="57" customFormat="false" ht="15" hidden="false" customHeight="false" outlineLevel="0" collapsed="false">
      <c r="A57" s="6" t="s">
        <v>74</v>
      </c>
      <c r="B57" s="6" t="s">
        <v>365</v>
      </c>
      <c r="C57" s="6" t="s">
        <v>375</v>
      </c>
      <c r="D57" s="6" t="s">
        <v>373</v>
      </c>
      <c r="E57" s="6" t="n">
        <v>23</v>
      </c>
      <c r="F57" s="6" t="s">
        <v>374</v>
      </c>
    </row>
    <row r="58" customFormat="false" ht="15" hidden="false" customHeight="false" outlineLevel="0" collapsed="false">
      <c r="A58" s="6" t="s">
        <v>74</v>
      </c>
      <c r="B58" s="6" t="s">
        <v>365</v>
      </c>
      <c r="C58" s="6" t="s">
        <v>377</v>
      </c>
      <c r="D58" s="6" t="s">
        <v>451</v>
      </c>
      <c r="E58" s="6" t="n">
        <v>18</v>
      </c>
      <c r="F58" s="6" t="s">
        <v>447</v>
      </c>
    </row>
    <row r="59" customFormat="false" ht="15" hidden="false" customHeight="false" outlineLevel="0" collapsed="false">
      <c r="A59" s="6" t="s">
        <v>74</v>
      </c>
      <c r="B59" s="6" t="s">
        <v>365</v>
      </c>
      <c r="C59" s="6" t="s">
        <v>380</v>
      </c>
      <c r="D59" s="6" t="s">
        <v>452</v>
      </c>
      <c r="E59" s="6" t="n">
        <v>25</v>
      </c>
      <c r="F59" s="6" t="s">
        <v>417</v>
      </c>
    </row>
    <row r="60" customFormat="false" ht="15" hidden="false" customHeight="false" outlineLevel="0" collapsed="false">
      <c r="A60" s="6" t="s">
        <v>74</v>
      </c>
      <c r="B60" s="6" t="s">
        <v>365</v>
      </c>
      <c r="C60" s="6" t="s">
        <v>383</v>
      </c>
      <c r="D60" s="6" t="s">
        <v>453</v>
      </c>
      <c r="E60" s="6" t="n">
        <v>22</v>
      </c>
      <c r="F60" s="6" t="s">
        <v>412</v>
      </c>
    </row>
    <row r="61" customFormat="false" ht="15" hidden="false" customHeight="false" outlineLevel="0" collapsed="false">
      <c r="A61" s="6" t="s">
        <v>74</v>
      </c>
      <c r="B61" s="6" t="s">
        <v>365</v>
      </c>
      <c r="C61" s="6" t="s">
        <v>385</v>
      </c>
      <c r="D61" s="6" t="s">
        <v>454</v>
      </c>
      <c r="E61" s="6" t="n">
        <v>23</v>
      </c>
      <c r="F61" s="6" t="s">
        <v>374</v>
      </c>
    </row>
    <row r="62" customFormat="false" ht="15" hidden="false" customHeight="false" outlineLevel="0" collapsed="false">
      <c r="A62" s="6" t="s">
        <v>74</v>
      </c>
      <c r="B62" s="6" t="s">
        <v>388</v>
      </c>
      <c r="C62" s="6" t="s">
        <v>389</v>
      </c>
      <c r="D62" s="6" t="s">
        <v>455</v>
      </c>
      <c r="E62" s="6" t="n">
        <v>74</v>
      </c>
      <c r="F62" s="6" t="s">
        <v>456</v>
      </c>
    </row>
    <row r="63" customFormat="false" ht="15" hidden="false" customHeight="false" outlineLevel="0" collapsed="false">
      <c r="A63" s="6" t="s">
        <v>74</v>
      </c>
      <c r="B63" s="6" t="s">
        <v>388</v>
      </c>
      <c r="C63" s="6" t="s">
        <v>392</v>
      </c>
      <c r="D63" s="6" t="s">
        <v>457</v>
      </c>
      <c r="E63" s="6" t="n">
        <v>78</v>
      </c>
      <c r="F63" s="6" t="s">
        <v>437</v>
      </c>
    </row>
    <row r="64" customFormat="false" ht="15" hidden="false" customHeight="false" outlineLevel="0" collapsed="false">
      <c r="A64" s="6" t="s">
        <v>74</v>
      </c>
      <c r="B64" s="6" t="s">
        <v>388</v>
      </c>
      <c r="C64" s="6" t="s">
        <v>395</v>
      </c>
      <c r="D64" s="6" t="s">
        <v>458</v>
      </c>
      <c r="E64" s="6" t="n">
        <v>78</v>
      </c>
      <c r="F64" s="6" t="s">
        <v>437</v>
      </c>
    </row>
    <row r="65" customFormat="false" ht="15" hidden="false" customHeight="false" outlineLevel="0" collapsed="false">
      <c r="A65" s="6" t="s">
        <v>74</v>
      </c>
      <c r="B65" s="6" t="s">
        <v>388</v>
      </c>
      <c r="C65" s="6" t="s">
        <v>398</v>
      </c>
      <c r="D65" s="6" t="s">
        <v>459</v>
      </c>
      <c r="E65" s="6" t="n">
        <v>76</v>
      </c>
      <c r="F65" s="6" t="s">
        <v>426</v>
      </c>
    </row>
    <row r="66" customFormat="false" ht="15" hidden="false" customHeight="false" outlineLevel="0" collapsed="false">
      <c r="A66" s="6" t="s">
        <v>74</v>
      </c>
      <c r="B66" s="6" t="s">
        <v>401</v>
      </c>
      <c r="C66" s="6" t="s">
        <v>402</v>
      </c>
      <c r="D66" s="6" t="s">
        <v>403</v>
      </c>
      <c r="E66" s="6" t="n">
        <v>4</v>
      </c>
      <c r="F66" s="6" t="s">
        <v>404</v>
      </c>
    </row>
    <row r="67" customFormat="false" ht="15" hidden="false" customHeight="false" outlineLevel="0" collapsed="false">
      <c r="A67" s="6" t="s">
        <v>74</v>
      </c>
      <c r="B67" s="6" t="s">
        <v>401</v>
      </c>
      <c r="C67" s="6" t="s">
        <v>405</v>
      </c>
      <c r="D67" s="6" t="s">
        <v>460</v>
      </c>
      <c r="E67" s="6" t="n">
        <v>8</v>
      </c>
      <c r="F67" s="6" t="s">
        <v>461</v>
      </c>
    </row>
    <row r="69" customFormat="false" ht="15" hidden="false" customHeight="false" outlineLevel="0" collapsed="false">
      <c r="A69" s="16" t="s">
        <v>462</v>
      </c>
      <c r="B69" s="16"/>
      <c r="C69" s="16"/>
      <c r="D69" s="16"/>
      <c r="E69" s="16"/>
      <c r="F69" s="16"/>
    </row>
    <row r="70" customFormat="false" ht="15" hidden="false" customHeight="false" outlineLevel="0" collapsed="false">
      <c r="A70" s="6" t="s">
        <v>77</v>
      </c>
      <c r="B70" s="6" t="s">
        <v>365</v>
      </c>
      <c r="C70" s="6" t="s">
        <v>366</v>
      </c>
      <c r="D70" s="6" t="s">
        <v>463</v>
      </c>
      <c r="E70" s="6" t="n">
        <v>26</v>
      </c>
      <c r="F70" s="6" t="s">
        <v>379</v>
      </c>
    </row>
    <row r="71" customFormat="false" ht="15" hidden="false" customHeight="false" outlineLevel="0" collapsed="false">
      <c r="A71" s="6" t="s">
        <v>77</v>
      </c>
      <c r="B71" s="6" t="s">
        <v>365</v>
      </c>
      <c r="C71" s="6" t="s">
        <v>369</v>
      </c>
      <c r="D71" s="6" t="s">
        <v>464</v>
      </c>
      <c r="E71" s="6" t="n">
        <v>28</v>
      </c>
      <c r="F71" s="6" t="s">
        <v>414</v>
      </c>
    </row>
    <row r="72" customFormat="false" ht="15" hidden="false" customHeight="false" outlineLevel="0" collapsed="false">
      <c r="A72" s="6" t="s">
        <v>77</v>
      </c>
      <c r="B72" s="6" t="s">
        <v>365</v>
      </c>
      <c r="C72" s="6" t="s">
        <v>372</v>
      </c>
      <c r="D72" s="6" t="s">
        <v>465</v>
      </c>
      <c r="E72" s="6" t="n">
        <v>29</v>
      </c>
      <c r="F72" s="6" t="s">
        <v>449</v>
      </c>
    </row>
    <row r="73" customFormat="false" ht="15" hidden="false" customHeight="false" outlineLevel="0" collapsed="false">
      <c r="A73" s="6" t="s">
        <v>77</v>
      </c>
      <c r="B73" s="6" t="s">
        <v>365</v>
      </c>
      <c r="C73" s="6" t="s">
        <v>375</v>
      </c>
      <c r="D73" s="6" t="s">
        <v>466</v>
      </c>
      <c r="E73" s="6" t="n">
        <v>22</v>
      </c>
      <c r="F73" s="6" t="s">
        <v>412</v>
      </c>
    </row>
    <row r="74" customFormat="false" ht="15" hidden="false" customHeight="false" outlineLevel="0" collapsed="false">
      <c r="A74" s="6" t="s">
        <v>77</v>
      </c>
      <c r="B74" s="6" t="s">
        <v>365</v>
      </c>
      <c r="C74" s="6" t="s">
        <v>377</v>
      </c>
      <c r="D74" s="6" t="s">
        <v>467</v>
      </c>
      <c r="E74" s="6" t="n">
        <v>25</v>
      </c>
      <c r="F74" s="6" t="s">
        <v>417</v>
      </c>
    </row>
    <row r="75" customFormat="false" ht="15" hidden="false" customHeight="false" outlineLevel="0" collapsed="false">
      <c r="A75" s="6" t="s">
        <v>77</v>
      </c>
      <c r="B75" s="6" t="s">
        <v>365</v>
      </c>
      <c r="C75" s="6" t="s">
        <v>380</v>
      </c>
      <c r="D75" s="6" t="s">
        <v>468</v>
      </c>
      <c r="E75" s="6" t="n">
        <v>23</v>
      </c>
      <c r="F75" s="6" t="s">
        <v>374</v>
      </c>
    </row>
    <row r="76" customFormat="false" ht="15" hidden="false" customHeight="false" outlineLevel="0" collapsed="false">
      <c r="A76" s="6" t="s">
        <v>77</v>
      </c>
      <c r="B76" s="6" t="s">
        <v>365</v>
      </c>
      <c r="C76" s="6" t="s">
        <v>383</v>
      </c>
      <c r="D76" s="6" t="s">
        <v>469</v>
      </c>
      <c r="E76" s="6" t="n">
        <v>27</v>
      </c>
      <c r="F76" s="6" t="s">
        <v>470</v>
      </c>
    </row>
    <row r="77" customFormat="false" ht="15" hidden="false" customHeight="false" outlineLevel="0" collapsed="false">
      <c r="A77" s="6" t="s">
        <v>77</v>
      </c>
      <c r="B77" s="6" t="s">
        <v>365</v>
      </c>
      <c r="C77" s="6" t="s">
        <v>385</v>
      </c>
      <c r="D77" s="6" t="s">
        <v>471</v>
      </c>
      <c r="E77" s="6" t="n">
        <v>16</v>
      </c>
      <c r="F77" s="6" t="s">
        <v>410</v>
      </c>
    </row>
    <row r="78" customFormat="false" ht="15" hidden="false" customHeight="false" outlineLevel="0" collapsed="false">
      <c r="A78" s="6" t="s">
        <v>77</v>
      </c>
      <c r="B78" s="6" t="s">
        <v>388</v>
      </c>
      <c r="C78" s="6" t="s">
        <v>389</v>
      </c>
      <c r="D78" s="6" t="s">
        <v>472</v>
      </c>
      <c r="E78" s="6" t="n">
        <v>79</v>
      </c>
      <c r="F78" s="6" t="s">
        <v>439</v>
      </c>
    </row>
    <row r="79" customFormat="false" ht="15" hidden="false" customHeight="false" outlineLevel="0" collapsed="false">
      <c r="A79" s="6" t="s">
        <v>77</v>
      </c>
      <c r="B79" s="6" t="s">
        <v>388</v>
      </c>
      <c r="C79" s="6" t="s">
        <v>392</v>
      </c>
      <c r="D79" s="6" t="s">
        <v>473</v>
      </c>
      <c r="E79" s="6" t="n">
        <v>74</v>
      </c>
      <c r="F79" s="6" t="s">
        <v>456</v>
      </c>
    </row>
    <row r="80" customFormat="false" ht="15" hidden="false" customHeight="false" outlineLevel="0" collapsed="false">
      <c r="A80" s="6" t="s">
        <v>77</v>
      </c>
      <c r="B80" s="6" t="s">
        <v>388</v>
      </c>
      <c r="C80" s="6" t="s">
        <v>395</v>
      </c>
      <c r="D80" s="6" t="s">
        <v>474</v>
      </c>
      <c r="E80" s="6" t="n">
        <v>78</v>
      </c>
      <c r="F80" s="6" t="s">
        <v>437</v>
      </c>
    </row>
    <row r="81" customFormat="false" ht="15" hidden="false" customHeight="false" outlineLevel="0" collapsed="false">
      <c r="A81" s="6" t="s">
        <v>77</v>
      </c>
      <c r="B81" s="6" t="s">
        <v>388</v>
      </c>
      <c r="C81" s="6" t="s">
        <v>398</v>
      </c>
      <c r="D81" s="6" t="s">
        <v>475</v>
      </c>
      <c r="E81" s="6" t="n">
        <v>76</v>
      </c>
      <c r="F81" s="6" t="s">
        <v>426</v>
      </c>
    </row>
    <row r="82" customFormat="false" ht="15" hidden="false" customHeight="false" outlineLevel="0" collapsed="false">
      <c r="A82" s="6" t="s">
        <v>77</v>
      </c>
      <c r="B82" s="6" t="s">
        <v>401</v>
      </c>
      <c r="C82" s="6" t="s">
        <v>402</v>
      </c>
      <c r="D82" s="6" t="s">
        <v>403</v>
      </c>
      <c r="E82" s="6" t="n">
        <v>4</v>
      </c>
      <c r="F82" s="6" t="s">
        <v>404</v>
      </c>
    </row>
    <row r="83" customFormat="false" ht="15" hidden="false" customHeight="false" outlineLevel="0" collapsed="false">
      <c r="A83" s="6" t="s">
        <v>77</v>
      </c>
      <c r="B83" s="6" t="s">
        <v>401</v>
      </c>
      <c r="C83" s="6" t="s">
        <v>405</v>
      </c>
      <c r="D83" s="6" t="s">
        <v>476</v>
      </c>
      <c r="E83" s="6" t="n">
        <v>8</v>
      </c>
      <c r="F83" s="6" t="s">
        <v>461</v>
      </c>
    </row>
    <row r="85" customFormat="false" ht="15" hidden="false" customHeight="false" outlineLevel="0" collapsed="false">
      <c r="A85" s="16" t="s">
        <v>477</v>
      </c>
      <c r="B85" s="16"/>
      <c r="C85" s="16"/>
      <c r="D85" s="16"/>
      <c r="E85" s="16"/>
      <c r="F85" s="16"/>
    </row>
    <row r="86" customFormat="false" ht="15" hidden="false" customHeight="false" outlineLevel="0" collapsed="false">
      <c r="A86" s="6" t="s">
        <v>80</v>
      </c>
      <c r="B86" s="6" t="s">
        <v>365</v>
      </c>
      <c r="C86" s="6" t="s">
        <v>366</v>
      </c>
      <c r="D86" s="6" t="s">
        <v>478</v>
      </c>
      <c r="E86" s="6" t="n">
        <v>63</v>
      </c>
      <c r="F86" s="6" t="s">
        <v>479</v>
      </c>
    </row>
    <row r="87" customFormat="false" ht="15" hidden="false" customHeight="false" outlineLevel="0" collapsed="false">
      <c r="A87" s="6" t="s">
        <v>80</v>
      </c>
      <c r="B87" s="6" t="s">
        <v>388</v>
      </c>
      <c r="C87" s="6" t="s">
        <v>389</v>
      </c>
      <c r="D87" s="6" t="s">
        <v>480</v>
      </c>
      <c r="E87" s="6" t="n">
        <v>82</v>
      </c>
      <c r="F87" s="6" t="s">
        <v>481</v>
      </c>
    </row>
    <row r="88" customFormat="false" ht="15" hidden="false" customHeight="false" outlineLevel="0" collapsed="false">
      <c r="A88" s="6" t="s">
        <v>80</v>
      </c>
      <c r="B88" s="6" t="s">
        <v>388</v>
      </c>
      <c r="C88" s="6" t="s">
        <v>392</v>
      </c>
      <c r="D88" s="6" t="s">
        <v>482</v>
      </c>
      <c r="E88" s="6" t="n">
        <v>83</v>
      </c>
      <c r="F88" s="6" t="s">
        <v>483</v>
      </c>
    </row>
    <row r="89" customFormat="false" ht="15" hidden="false" customHeight="false" outlineLevel="0" collapsed="false">
      <c r="A89" s="6" t="s">
        <v>80</v>
      </c>
      <c r="B89" s="6" t="s">
        <v>401</v>
      </c>
      <c r="C89" s="6" t="s">
        <v>402</v>
      </c>
      <c r="D89" s="6" t="s">
        <v>403</v>
      </c>
      <c r="E89" s="6" t="n">
        <v>4</v>
      </c>
      <c r="F89" s="6" t="s">
        <v>404</v>
      </c>
    </row>
    <row r="90" customFormat="false" ht="15" hidden="false" customHeight="false" outlineLevel="0" collapsed="false">
      <c r="A90" s="6" t="s">
        <v>80</v>
      </c>
      <c r="B90" s="6" t="s">
        <v>401</v>
      </c>
      <c r="C90" s="6" t="s">
        <v>405</v>
      </c>
      <c r="D90" s="6" t="s">
        <v>484</v>
      </c>
      <c r="E90" s="6" t="n">
        <v>8</v>
      </c>
      <c r="F90" s="6" t="s">
        <v>461</v>
      </c>
    </row>
  </sheetData>
  <mergeCells count="8">
    <mergeCell ref="A1:E1"/>
    <mergeCell ref="A2:E2"/>
    <mergeCell ref="A5:F5"/>
    <mergeCell ref="A21:F21"/>
    <mergeCell ref="A37:F37"/>
    <mergeCell ref="A53:F53"/>
    <mergeCell ref="A69:F69"/>
    <mergeCell ref="A85:F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24.45" hidden="false" customHeight="false" outlineLevel="0" collapsed="false">
      <c r="A1" s="1" t="s">
        <v>485</v>
      </c>
      <c r="B1" s="1"/>
      <c r="C1" s="1"/>
      <c r="D1" s="1"/>
    </row>
    <row r="2" customFormat="false" ht="15" hidden="false" customHeight="false" outlineLevel="0" collapsed="false">
      <c r="A2" s="2" t="s">
        <v>486</v>
      </c>
      <c r="B2" s="2"/>
      <c r="C2" s="2"/>
      <c r="D2" s="2"/>
    </row>
    <row r="4" customFormat="false" ht="15" hidden="false" customHeight="false" outlineLevel="0" collapsed="false">
      <c r="A4" s="4" t="s">
        <v>487</v>
      </c>
      <c r="B4" s="4" t="s">
        <v>488</v>
      </c>
      <c r="C4" s="4" t="s">
        <v>158</v>
      </c>
      <c r="D4" s="4" t="s">
        <v>489</v>
      </c>
    </row>
    <row r="5" customFormat="false" ht="15" hidden="false" customHeight="false" outlineLevel="0" collapsed="false">
      <c r="A5" s="6" t="s">
        <v>490</v>
      </c>
      <c r="B5" s="6" t="s">
        <v>491</v>
      </c>
      <c r="C5" s="6" t="s">
        <v>165</v>
      </c>
      <c r="D5" s="6" t="s">
        <v>492</v>
      </c>
    </row>
    <row r="6" customFormat="false" ht="15" hidden="false" customHeight="false" outlineLevel="0" collapsed="false">
      <c r="A6" s="6" t="s">
        <v>490</v>
      </c>
      <c r="B6" s="6" t="s">
        <v>493</v>
      </c>
      <c r="C6" s="6" t="s">
        <v>165</v>
      </c>
      <c r="D6" s="6" t="s">
        <v>492</v>
      </c>
    </row>
    <row r="7" customFormat="false" ht="15" hidden="false" customHeight="false" outlineLevel="0" collapsed="false">
      <c r="A7" s="6" t="s">
        <v>490</v>
      </c>
      <c r="B7" s="6" t="s">
        <v>494</v>
      </c>
      <c r="C7" s="6" t="s">
        <v>165</v>
      </c>
      <c r="D7" s="6" t="s">
        <v>492</v>
      </c>
    </row>
    <row r="8" customFormat="false" ht="15" hidden="false" customHeight="false" outlineLevel="0" collapsed="false">
      <c r="A8" s="6" t="s">
        <v>490</v>
      </c>
      <c r="B8" s="6" t="s">
        <v>495</v>
      </c>
      <c r="C8" s="6" t="s">
        <v>165</v>
      </c>
      <c r="D8" s="6" t="s">
        <v>492</v>
      </c>
    </row>
    <row r="9" customFormat="false" ht="15" hidden="false" customHeight="false" outlineLevel="0" collapsed="false">
      <c r="A9" s="6" t="s">
        <v>490</v>
      </c>
      <c r="B9" s="6" t="s">
        <v>496</v>
      </c>
      <c r="C9" s="6" t="s">
        <v>165</v>
      </c>
      <c r="D9" s="6" t="s">
        <v>492</v>
      </c>
    </row>
    <row r="10" customFormat="false" ht="15" hidden="false" customHeight="false" outlineLevel="0" collapsed="false">
      <c r="A10" s="6" t="s">
        <v>490</v>
      </c>
      <c r="B10" s="6" t="s">
        <v>497</v>
      </c>
      <c r="C10" s="6" t="s">
        <v>165</v>
      </c>
      <c r="D10" s="6" t="s">
        <v>498</v>
      </c>
    </row>
    <row r="11" customFormat="false" ht="15" hidden="false" customHeight="false" outlineLevel="0" collapsed="false">
      <c r="A11" s="6" t="s">
        <v>490</v>
      </c>
      <c r="B11" s="6" t="s">
        <v>499</v>
      </c>
      <c r="C11" s="6" t="s">
        <v>165</v>
      </c>
      <c r="D11" s="6" t="s">
        <v>498</v>
      </c>
    </row>
    <row r="12" customFormat="false" ht="15" hidden="false" customHeight="false" outlineLevel="0" collapsed="false">
      <c r="A12" s="6" t="s">
        <v>490</v>
      </c>
      <c r="B12" s="6" t="s">
        <v>500</v>
      </c>
      <c r="C12" s="6" t="s">
        <v>165</v>
      </c>
      <c r="D12" s="6" t="s">
        <v>501</v>
      </c>
    </row>
    <row r="13" customFormat="false" ht="15" hidden="false" customHeight="false" outlineLevel="0" collapsed="false">
      <c r="A13" s="6" t="s">
        <v>490</v>
      </c>
      <c r="B13" s="6" t="s">
        <v>502</v>
      </c>
      <c r="C13" s="6" t="s">
        <v>165</v>
      </c>
      <c r="D13" s="6" t="s">
        <v>503</v>
      </c>
    </row>
    <row r="14" customFormat="false" ht="15" hidden="false" customHeight="false" outlineLevel="0" collapsed="false">
      <c r="A14" s="6" t="s">
        <v>490</v>
      </c>
      <c r="B14" s="6" t="s">
        <v>504</v>
      </c>
      <c r="C14" s="6" t="s">
        <v>165</v>
      </c>
      <c r="D14" s="6" t="s">
        <v>503</v>
      </c>
    </row>
    <row r="15" customFormat="false" ht="15" hidden="false" customHeight="false" outlineLevel="0" collapsed="false">
      <c r="A15" s="6" t="s">
        <v>490</v>
      </c>
      <c r="B15" s="6" t="s">
        <v>505</v>
      </c>
      <c r="C15" s="6" t="s">
        <v>165</v>
      </c>
      <c r="D15" s="6" t="s">
        <v>503</v>
      </c>
    </row>
    <row r="16" customFormat="false" ht="15" hidden="false" customHeight="false" outlineLevel="0" collapsed="false">
      <c r="A16" s="6" t="s">
        <v>490</v>
      </c>
      <c r="B16" s="6" t="s">
        <v>506</v>
      </c>
      <c r="C16" s="6" t="s">
        <v>507</v>
      </c>
      <c r="D16" s="6" t="s">
        <v>508</v>
      </c>
    </row>
    <row r="17" customFormat="false" ht="15" hidden="false" customHeight="false" outlineLevel="0" collapsed="false">
      <c r="A17" s="6" t="s">
        <v>490</v>
      </c>
      <c r="B17" s="6" t="s">
        <v>509</v>
      </c>
      <c r="C17" s="6" t="s">
        <v>507</v>
      </c>
      <c r="D17" s="6" t="s">
        <v>508</v>
      </c>
    </row>
    <row r="18" customFormat="false" ht="15" hidden="false" customHeight="false" outlineLevel="0" collapsed="false">
      <c r="A18" s="6" t="s">
        <v>490</v>
      </c>
      <c r="B18" s="6" t="s">
        <v>510</v>
      </c>
      <c r="C18" s="6" t="s">
        <v>507</v>
      </c>
      <c r="D18" s="6" t="s">
        <v>511</v>
      </c>
    </row>
    <row r="19" customFormat="false" ht="15" hidden="false" customHeight="false" outlineLevel="0" collapsed="false">
      <c r="A19" s="6" t="s">
        <v>490</v>
      </c>
      <c r="B19" s="6" t="s">
        <v>512</v>
      </c>
      <c r="C19" s="6" t="s">
        <v>507</v>
      </c>
      <c r="D19" s="6" t="s">
        <v>511</v>
      </c>
    </row>
    <row r="20" customFormat="false" ht="15" hidden="false" customHeight="false" outlineLevel="0" collapsed="false">
      <c r="A20" s="6" t="s">
        <v>490</v>
      </c>
      <c r="B20" s="6" t="s">
        <v>513</v>
      </c>
      <c r="C20" s="6" t="s">
        <v>507</v>
      </c>
      <c r="D20" s="6" t="s">
        <v>511</v>
      </c>
    </row>
    <row r="21" customFormat="false" ht="15" hidden="false" customHeight="false" outlineLevel="0" collapsed="false">
      <c r="A21" s="6" t="s">
        <v>490</v>
      </c>
      <c r="B21" s="6" t="s">
        <v>514</v>
      </c>
      <c r="C21" s="6" t="s">
        <v>165</v>
      </c>
      <c r="D21" s="6" t="s">
        <v>515</v>
      </c>
    </row>
    <row r="22" customFormat="false" ht="15" hidden="false" customHeight="false" outlineLevel="0" collapsed="false">
      <c r="A22" s="6" t="s">
        <v>490</v>
      </c>
      <c r="B22" s="6" t="s">
        <v>516</v>
      </c>
      <c r="C22" s="6" t="s">
        <v>165</v>
      </c>
      <c r="D22" s="6" t="s">
        <v>517</v>
      </c>
    </row>
    <row r="23" customFormat="false" ht="15" hidden="false" customHeight="false" outlineLevel="0" collapsed="false">
      <c r="A23" s="6" t="s">
        <v>490</v>
      </c>
      <c r="B23" s="6" t="s">
        <v>518</v>
      </c>
      <c r="C23" s="6" t="s">
        <v>165</v>
      </c>
      <c r="D23" s="6" t="s">
        <v>517</v>
      </c>
    </row>
    <row r="24" customFormat="false" ht="15" hidden="false" customHeight="false" outlineLevel="0" collapsed="false">
      <c r="A24" s="6" t="s">
        <v>490</v>
      </c>
      <c r="B24" s="6" t="s">
        <v>519</v>
      </c>
      <c r="C24" s="6" t="s">
        <v>165</v>
      </c>
      <c r="D24" s="6" t="s">
        <v>520</v>
      </c>
    </row>
    <row r="25" customFormat="false" ht="15" hidden="false" customHeight="false" outlineLevel="0" collapsed="false">
      <c r="A25" s="6" t="s">
        <v>490</v>
      </c>
      <c r="B25" s="6" t="s">
        <v>521</v>
      </c>
      <c r="C25" s="6" t="s">
        <v>165</v>
      </c>
      <c r="D25" s="6" t="s">
        <v>522</v>
      </c>
    </row>
    <row r="26" customFormat="false" ht="15" hidden="false" customHeight="false" outlineLevel="0" collapsed="false">
      <c r="A26" s="6" t="s">
        <v>490</v>
      </c>
      <c r="B26" s="6" t="s">
        <v>523</v>
      </c>
      <c r="C26" s="6" t="s">
        <v>165</v>
      </c>
      <c r="D26" s="6" t="s">
        <v>522</v>
      </c>
    </row>
    <row r="27" customFormat="false" ht="15" hidden="false" customHeight="false" outlineLevel="0" collapsed="false">
      <c r="A27" s="6" t="s">
        <v>490</v>
      </c>
      <c r="B27" s="6" t="s">
        <v>524</v>
      </c>
      <c r="C27" s="6" t="s">
        <v>165</v>
      </c>
      <c r="D27" s="6" t="s">
        <v>522</v>
      </c>
    </row>
    <row r="28" customFormat="false" ht="15" hidden="false" customHeight="false" outlineLevel="0" collapsed="false">
      <c r="A28" s="6" t="s">
        <v>490</v>
      </c>
      <c r="B28" s="6" t="s">
        <v>525</v>
      </c>
      <c r="C28" s="6" t="s">
        <v>165</v>
      </c>
      <c r="D28" s="6" t="s">
        <v>526</v>
      </c>
    </row>
    <row r="29" customFormat="false" ht="15" hidden="false" customHeight="false" outlineLevel="0" collapsed="false">
      <c r="A29" s="6" t="s">
        <v>490</v>
      </c>
      <c r="B29" s="6" t="s">
        <v>527</v>
      </c>
      <c r="C29" s="6" t="s">
        <v>165</v>
      </c>
      <c r="D29" s="6" t="s">
        <v>528</v>
      </c>
    </row>
    <row r="30" customFormat="false" ht="15" hidden="false" customHeight="false" outlineLevel="0" collapsed="false">
      <c r="A30" s="6" t="s">
        <v>490</v>
      </c>
      <c r="B30" s="6" t="s">
        <v>529</v>
      </c>
      <c r="C30" s="6" t="s">
        <v>165</v>
      </c>
      <c r="D30" s="6" t="s">
        <v>530</v>
      </c>
    </row>
    <row r="31" customFormat="false" ht="15" hidden="false" customHeight="false" outlineLevel="0" collapsed="false">
      <c r="A31" s="6" t="s">
        <v>490</v>
      </c>
      <c r="B31" s="6" t="s">
        <v>531</v>
      </c>
      <c r="C31" s="6" t="s">
        <v>165</v>
      </c>
      <c r="D31" s="6" t="s">
        <v>532</v>
      </c>
    </row>
    <row r="32" customFormat="false" ht="15" hidden="false" customHeight="false" outlineLevel="0" collapsed="false">
      <c r="A32" s="6" t="s">
        <v>490</v>
      </c>
      <c r="B32" s="6" t="s">
        <v>533</v>
      </c>
      <c r="C32" s="6" t="s">
        <v>165</v>
      </c>
      <c r="D32" s="6" t="s">
        <v>534</v>
      </c>
    </row>
    <row r="33" customFormat="false" ht="15" hidden="false" customHeight="false" outlineLevel="0" collapsed="false">
      <c r="A33" s="6" t="s">
        <v>490</v>
      </c>
      <c r="B33" s="6" t="s">
        <v>535</v>
      </c>
      <c r="C33" s="6" t="s">
        <v>165</v>
      </c>
      <c r="D33" s="6" t="s">
        <v>536</v>
      </c>
    </row>
    <row r="34" customFormat="false" ht="15" hidden="false" customHeight="false" outlineLevel="0" collapsed="false">
      <c r="A34" s="6" t="s">
        <v>490</v>
      </c>
      <c r="B34" s="6" t="s">
        <v>537</v>
      </c>
      <c r="C34" s="6" t="s">
        <v>165</v>
      </c>
      <c r="D34" s="6" t="s">
        <v>538</v>
      </c>
    </row>
    <row r="35" customFormat="false" ht="15" hidden="false" customHeight="false" outlineLevel="0" collapsed="false">
      <c r="A35" s="6" t="s">
        <v>539</v>
      </c>
      <c r="B35" s="6" t="s">
        <v>540</v>
      </c>
      <c r="C35" s="6" t="s">
        <v>165</v>
      </c>
      <c r="D35" s="6" t="s">
        <v>541</v>
      </c>
    </row>
    <row r="36" customFormat="false" ht="15" hidden="false" customHeight="false" outlineLevel="0" collapsed="false">
      <c r="A36" s="6" t="s">
        <v>539</v>
      </c>
      <c r="B36" s="6" t="s">
        <v>542</v>
      </c>
      <c r="C36" s="6" t="s">
        <v>165</v>
      </c>
      <c r="D36" s="6" t="s">
        <v>543</v>
      </c>
    </row>
    <row r="37" customFormat="false" ht="15" hidden="false" customHeight="false" outlineLevel="0" collapsed="false">
      <c r="A37" s="6" t="s">
        <v>539</v>
      </c>
      <c r="B37" s="6" t="s">
        <v>544</v>
      </c>
      <c r="C37" s="6" t="s">
        <v>165</v>
      </c>
      <c r="D37" s="6" t="s">
        <v>543</v>
      </c>
    </row>
    <row r="38" customFormat="false" ht="15" hidden="false" customHeight="false" outlineLevel="0" collapsed="false">
      <c r="A38" s="6" t="s">
        <v>539</v>
      </c>
      <c r="B38" s="6" t="s">
        <v>545</v>
      </c>
      <c r="C38" s="6" t="s">
        <v>165</v>
      </c>
      <c r="D38" s="6" t="s">
        <v>543</v>
      </c>
    </row>
    <row r="39" customFormat="false" ht="15" hidden="false" customHeight="false" outlineLevel="0" collapsed="false">
      <c r="A39" s="6" t="s">
        <v>546</v>
      </c>
      <c r="B39" s="6" t="s">
        <v>547</v>
      </c>
      <c r="C39" s="6" t="s">
        <v>165</v>
      </c>
      <c r="D39" s="6" t="s">
        <v>548</v>
      </c>
    </row>
    <row r="40" customFormat="false" ht="15" hidden="false" customHeight="false" outlineLevel="0" collapsed="false">
      <c r="A40" s="6" t="s">
        <v>546</v>
      </c>
      <c r="B40" s="6" t="s">
        <v>549</v>
      </c>
      <c r="C40" s="6" t="s">
        <v>165</v>
      </c>
      <c r="D40" s="6" t="s">
        <v>550</v>
      </c>
    </row>
    <row r="41" customFormat="false" ht="15" hidden="false" customHeight="false" outlineLevel="0" collapsed="false">
      <c r="A41" s="6" t="s">
        <v>551</v>
      </c>
      <c r="B41" s="6" t="s">
        <v>552</v>
      </c>
      <c r="C41" s="6" t="s">
        <v>165</v>
      </c>
      <c r="D41" s="6" t="s">
        <v>553</v>
      </c>
    </row>
    <row r="42" customFormat="false" ht="15" hidden="false" customHeight="false" outlineLevel="0" collapsed="false">
      <c r="A42" s="6" t="s">
        <v>551</v>
      </c>
      <c r="B42" s="6" t="s">
        <v>554</v>
      </c>
      <c r="C42" s="6" t="s">
        <v>165</v>
      </c>
      <c r="D42" s="6" t="s">
        <v>553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40"/>
  </cols>
  <sheetData>
    <row r="1" customFormat="false" ht="24.45" hidden="false" customHeight="false" outlineLevel="0" collapsed="false">
      <c r="A1" s="1" t="s">
        <v>555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556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7" t="s">
        <v>60</v>
      </c>
      <c r="B4" s="18" t="n">
        <v>3000</v>
      </c>
      <c r="C4" s="19" t="s">
        <v>557</v>
      </c>
      <c r="D4" s="19"/>
      <c r="E4" s="19"/>
      <c r="F4" s="19"/>
      <c r="G4" s="19"/>
    </row>
    <row r="6" customFormat="false" ht="26.85" hidden="false" customHeight="false" outlineLevel="0" collapsed="false">
      <c r="A6" s="4" t="s">
        <v>87</v>
      </c>
      <c r="B6" s="4" t="s">
        <v>58</v>
      </c>
      <c r="C6" s="4" t="s">
        <v>59</v>
      </c>
      <c r="D6" s="4" t="s">
        <v>558</v>
      </c>
      <c r="E6" s="4" t="s">
        <v>559</v>
      </c>
      <c r="F6" s="4" t="s">
        <v>560</v>
      </c>
      <c r="G6" s="4" t="s">
        <v>5</v>
      </c>
    </row>
    <row r="7" customFormat="false" ht="15" hidden="false" customHeight="false" outlineLevel="0" collapsed="false">
      <c r="A7" s="6" t="s">
        <v>364</v>
      </c>
      <c r="B7" s="9" t="n">
        <v>0.05</v>
      </c>
      <c r="C7" s="10" t="n">
        <f aca="false">$B$4*B7</f>
        <v>150</v>
      </c>
      <c r="D7" s="20" t="n">
        <f aca="false">C7/30</f>
        <v>5</v>
      </c>
      <c r="E7" s="6" t="s">
        <v>66</v>
      </c>
      <c r="F7" s="6" t="s">
        <v>561</v>
      </c>
      <c r="G7" s="6" t="s">
        <v>562</v>
      </c>
    </row>
    <row r="8" customFormat="false" ht="15" hidden="false" customHeight="false" outlineLevel="0" collapsed="false">
      <c r="A8" s="6" t="s">
        <v>408</v>
      </c>
      <c r="B8" s="9" t="n">
        <v>0.1</v>
      </c>
      <c r="C8" s="10" t="n">
        <f aca="false">$B$4*B8</f>
        <v>300</v>
      </c>
      <c r="D8" s="20" t="n">
        <f aca="false">C8/30</f>
        <v>10</v>
      </c>
      <c r="E8" s="6" t="s">
        <v>79</v>
      </c>
      <c r="F8" s="6" t="s">
        <v>563</v>
      </c>
      <c r="G8" s="6" t="s">
        <v>564</v>
      </c>
    </row>
    <row r="9" customFormat="false" ht="15" hidden="false" customHeight="false" outlineLevel="0" collapsed="false">
      <c r="A9" s="6" t="s">
        <v>565</v>
      </c>
      <c r="B9" s="9" t="n">
        <v>0.5</v>
      </c>
      <c r="C9" s="10" t="n">
        <f aca="false">$B$4*B9</f>
        <v>1500</v>
      </c>
      <c r="D9" s="20" t="n">
        <f aca="false">C9/30</f>
        <v>50</v>
      </c>
      <c r="E9" s="6" t="s">
        <v>79</v>
      </c>
      <c r="F9" s="6" t="s">
        <v>566</v>
      </c>
      <c r="G9" s="6" t="s">
        <v>567</v>
      </c>
    </row>
    <row r="10" customFormat="false" ht="15" hidden="false" customHeight="false" outlineLevel="0" collapsed="false">
      <c r="A10" s="6" t="s">
        <v>568</v>
      </c>
      <c r="B10" s="9" t="n">
        <v>0.2</v>
      </c>
      <c r="C10" s="10" t="n">
        <f aca="false">$B$4*B10</f>
        <v>600</v>
      </c>
      <c r="D10" s="20" t="n">
        <f aca="false">C10/30</f>
        <v>20</v>
      </c>
      <c r="E10" s="6" t="s">
        <v>79</v>
      </c>
      <c r="F10" s="6" t="s">
        <v>66</v>
      </c>
      <c r="G10" s="6" t="s">
        <v>569</v>
      </c>
    </row>
    <row r="11" customFormat="false" ht="15" hidden="false" customHeight="false" outlineLevel="0" collapsed="false">
      <c r="A11" s="6" t="s">
        <v>462</v>
      </c>
      <c r="B11" s="9" t="n">
        <v>0.1</v>
      </c>
      <c r="C11" s="10" t="n">
        <f aca="false">$B$4*B11</f>
        <v>300</v>
      </c>
      <c r="D11" s="20" t="n">
        <f aca="false">C11/30</f>
        <v>10</v>
      </c>
      <c r="E11" s="6" t="s">
        <v>79</v>
      </c>
      <c r="F11" s="6" t="s">
        <v>570</v>
      </c>
      <c r="G11" s="6" t="s">
        <v>571</v>
      </c>
    </row>
    <row r="12" customFormat="false" ht="15" hidden="false" customHeight="false" outlineLevel="0" collapsed="false">
      <c r="A12" s="6" t="s">
        <v>572</v>
      </c>
      <c r="B12" s="9" t="n">
        <v>0.05</v>
      </c>
      <c r="C12" s="10" t="n">
        <f aca="false">$B$4*B12</f>
        <v>150</v>
      </c>
      <c r="D12" s="20" t="n">
        <f aca="false">C12/30</f>
        <v>5</v>
      </c>
      <c r="E12" s="6" t="s">
        <v>573</v>
      </c>
      <c r="F12" s="6" t="s">
        <v>574</v>
      </c>
      <c r="G12" s="6" t="s">
        <v>575</v>
      </c>
    </row>
    <row r="13" customFormat="false" ht="15" hidden="false" customHeight="false" outlineLevel="0" collapsed="false">
      <c r="A13" s="12" t="s">
        <v>84</v>
      </c>
      <c r="B13" s="13" t="n">
        <f aca="false">SUM(B7:B12)</f>
        <v>1</v>
      </c>
      <c r="C13" s="14" t="n">
        <f aca="false">SUM(C7:C12)</f>
        <v>3000</v>
      </c>
      <c r="D13" s="21" t="n">
        <f aca="false">SUM(D7:D12)</f>
        <v>100</v>
      </c>
      <c r="E13" s="11"/>
      <c r="F13" s="11"/>
      <c r="G13" s="11"/>
    </row>
    <row r="16" customFormat="false" ht="15" hidden="false" customHeight="false" outlineLevel="0" collapsed="false">
      <c r="A16" s="22" t="s">
        <v>576</v>
      </c>
      <c r="B16" s="22"/>
      <c r="C16" s="22"/>
      <c r="D16" s="22"/>
      <c r="E16" s="22"/>
      <c r="F16" s="22"/>
      <c r="G16" s="22"/>
    </row>
    <row r="17" customFormat="false" ht="26.85" hidden="false" customHeight="false" outlineLevel="0" collapsed="false">
      <c r="A17" s="4" t="s">
        <v>577</v>
      </c>
      <c r="B17" s="4" t="s">
        <v>578</v>
      </c>
      <c r="C17" s="4" t="s">
        <v>5</v>
      </c>
    </row>
    <row r="18" customFormat="false" ht="23.85" hidden="false" customHeight="false" outlineLevel="0" collapsed="false">
      <c r="A18" s="6" t="s">
        <v>579</v>
      </c>
      <c r="B18" s="6" t="s">
        <v>580</v>
      </c>
      <c r="C18" s="6" t="s">
        <v>581</v>
      </c>
    </row>
    <row r="19" customFormat="false" ht="35.05" hidden="false" customHeight="false" outlineLevel="0" collapsed="false">
      <c r="A19" s="6" t="s">
        <v>582</v>
      </c>
      <c r="B19" s="6" t="s">
        <v>583</v>
      </c>
      <c r="C19" s="6" t="s">
        <v>584</v>
      </c>
    </row>
    <row r="20" customFormat="false" ht="23.85" hidden="false" customHeight="false" outlineLevel="0" collapsed="false">
      <c r="A20" s="6" t="s">
        <v>585</v>
      </c>
      <c r="B20" s="6" t="s">
        <v>586</v>
      </c>
      <c r="C20" s="6" t="s">
        <v>587</v>
      </c>
    </row>
    <row r="21" customFormat="false" ht="15" hidden="false" customHeight="false" outlineLevel="0" collapsed="false">
      <c r="A21" s="6" t="s">
        <v>588</v>
      </c>
      <c r="B21" s="6" t="s">
        <v>589</v>
      </c>
      <c r="C21" s="6" t="s">
        <v>590</v>
      </c>
    </row>
    <row r="22" customFormat="false" ht="35.05" hidden="false" customHeight="false" outlineLevel="0" collapsed="false">
      <c r="A22" s="6" t="s">
        <v>591</v>
      </c>
      <c r="B22" s="6" t="s">
        <v>592</v>
      </c>
      <c r="C22" s="6" t="s">
        <v>593</v>
      </c>
    </row>
    <row r="23" customFormat="false" ht="23.85" hidden="false" customHeight="false" outlineLevel="0" collapsed="false">
      <c r="A23" s="6" t="s">
        <v>594</v>
      </c>
      <c r="B23" s="6" t="s">
        <v>595</v>
      </c>
      <c r="C23" s="6" t="s">
        <v>596</v>
      </c>
    </row>
    <row r="24" customFormat="false" ht="35.05" hidden="false" customHeight="false" outlineLevel="0" collapsed="false">
      <c r="A24" s="6" t="s">
        <v>597</v>
      </c>
      <c r="B24" s="6" t="s">
        <v>598</v>
      </c>
      <c r="C24" s="6" t="s">
        <v>599</v>
      </c>
    </row>
  </sheetData>
  <mergeCells count="4">
    <mergeCell ref="A1:G1"/>
    <mergeCell ref="A2:G2"/>
    <mergeCell ref="C4:G4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38"/>
    <col collapsed="false" customWidth="true" hidden="false" outlineLevel="0" max="5" min="5" style="0" width="50"/>
  </cols>
  <sheetData>
    <row r="1" customFormat="false" ht="24.45" hidden="false" customHeight="false" outlineLevel="0" collapsed="false">
      <c r="A1" s="1" t="s">
        <v>600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601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602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603</v>
      </c>
      <c r="B5" s="4" t="s">
        <v>604</v>
      </c>
      <c r="C5" s="4" t="s">
        <v>605</v>
      </c>
      <c r="D5" s="4" t="s">
        <v>606</v>
      </c>
      <c r="E5" s="4" t="s">
        <v>90</v>
      </c>
    </row>
    <row r="6" customFormat="false" ht="15" hidden="false" customHeight="false" outlineLevel="0" collapsed="false">
      <c r="A6" s="6" t="s">
        <v>607</v>
      </c>
      <c r="B6" s="6" t="n">
        <v>22</v>
      </c>
      <c r="C6" s="6" t="s">
        <v>608</v>
      </c>
      <c r="D6" s="6" t="s">
        <v>609</v>
      </c>
      <c r="E6" s="6" t="s">
        <v>610</v>
      </c>
    </row>
    <row r="7" customFormat="false" ht="15" hidden="false" customHeight="false" outlineLevel="0" collapsed="false">
      <c r="A7" s="6" t="s">
        <v>611</v>
      </c>
      <c r="B7" s="6" t="n">
        <v>21</v>
      </c>
      <c r="C7" s="6" t="s">
        <v>612</v>
      </c>
      <c r="D7" s="6" t="s">
        <v>613</v>
      </c>
      <c r="E7" s="6" t="s">
        <v>614</v>
      </c>
    </row>
    <row r="8" customFormat="false" ht="15" hidden="false" customHeight="false" outlineLevel="0" collapsed="false">
      <c r="A8" s="6" t="s">
        <v>615</v>
      </c>
      <c r="B8" s="6" t="n">
        <v>20</v>
      </c>
      <c r="C8" s="6" t="s">
        <v>616</v>
      </c>
      <c r="D8" s="6" t="s">
        <v>617</v>
      </c>
      <c r="E8" s="6" t="s">
        <v>618</v>
      </c>
    </row>
    <row r="9" customFormat="false" ht="15" hidden="false" customHeight="false" outlineLevel="0" collapsed="false">
      <c r="A9" s="6" t="s">
        <v>619</v>
      </c>
      <c r="B9" s="6" t="n">
        <v>25</v>
      </c>
      <c r="C9" s="6" t="s">
        <v>620</v>
      </c>
      <c r="D9" s="6" t="s">
        <v>621</v>
      </c>
      <c r="E9" s="6" t="s">
        <v>622</v>
      </c>
    </row>
    <row r="10" customFormat="false" ht="15" hidden="false" customHeight="false" outlineLevel="0" collapsed="false">
      <c r="A10" s="6" t="s">
        <v>623</v>
      </c>
      <c r="B10" s="6" t="n">
        <v>12</v>
      </c>
      <c r="C10" s="6" t="s">
        <v>624</v>
      </c>
      <c r="D10" s="6" t="s">
        <v>625</v>
      </c>
      <c r="E10" s="6" t="s">
        <v>626</v>
      </c>
    </row>
    <row r="11" customFormat="false" ht="15" hidden="false" customHeight="false" outlineLevel="0" collapsed="false">
      <c r="A11" s="6" t="s">
        <v>627</v>
      </c>
      <c r="B11" s="6" t="n">
        <v>19</v>
      </c>
      <c r="C11" s="6" t="s">
        <v>628</v>
      </c>
      <c r="D11" s="6" t="s">
        <v>629</v>
      </c>
      <c r="E11" s="6" t="s">
        <v>109</v>
      </c>
    </row>
    <row r="12" customFormat="false" ht="15" hidden="false" customHeight="false" outlineLevel="0" collapsed="false">
      <c r="A12" s="6" t="s">
        <v>630</v>
      </c>
      <c r="B12" s="6" t="n">
        <v>11</v>
      </c>
      <c r="C12" s="6" t="s">
        <v>631</v>
      </c>
      <c r="D12" s="6" t="s">
        <v>632</v>
      </c>
      <c r="E12" s="6" t="s">
        <v>633</v>
      </c>
    </row>
    <row r="13" customFormat="false" ht="15" hidden="false" customHeight="false" outlineLevel="0" collapsed="false">
      <c r="A13" s="6" t="s">
        <v>634</v>
      </c>
      <c r="B13" s="6" t="n">
        <v>21</v>
      </c>
      <c r="C13" s="6" t="s">
        <v>635</v>
      </c>
      <c r="D13" s="6" t="s">
        <v>636</v>
      </c>
      <c r="E13" s="6" t="s">
        <v>637</v>
      </c>
    </row>
    <row r="16" customFormat="false" ht="15" hidden="false" customHeight="false" outlineLevel="0" collapsed="false">
      <c r="A16" s="3" t="s">
        <v>638</v>
      </c>
      <c r="B16" s="3"/>
      <c r="C16" s="3"/>
      <c r="D16" s="3"/>
      <c r="E16" s="3"/>
    </row>
    <row r="17" customFormat="false" ht="15" hidden="false" customHeight="false" outlineLevel="0" collapsed="false">
      <c r="A17" s="4" t="s">
        <v>639</v>
      </c>
      <c r="B17" s="4" t="s">
        <v>362</v>
      </c>
      <c r="C17" s="4" t="s">
        <v>363</v>
      </c>
    </row>
    <row r="18" customFormat="false" ht="15" hidden="false" customHeight="false" outlineLevel="0" collapsed="false">
      <c r="A18" s="6" t="s">
        <v>640</v>
      </c>
      <c r="B18" s="6" t="n">
        <v>23</v>
      </c>
      <c r="C18" s="6" t="s">
        <v>641</v>
      </c>
    </row>
    <row r="19" customFormat="false" ht="15" hidden="false" customHeight="false" outlineLevel="0" collapsed="false">
      <c r="A19" s="6" t="s">
        <v>642</v>
      </c>
      <c r="B19" s="6" t="n">
        <v>23</v>
      </c>
      <c r="C19" s="6" t="s">
        <v>641</v>
      </c>
    </row>
    <row r="20" customFormat="false" ht="15" hidden="false" customHeight="false" outlineLevel="0" collapsed="false">
      <c r="A20" s="6" t="s">
        <v>608</v>
      </c>
      <c r="B20" s="6" t="n">
        <v>21</v>
      </c>
      <c r="C20" s="6" t="s">
        <v>643</v>
      </c>
    </row>
    <row r="21" customFormat="false" ht="15" hidden="false" customHeight="false" outlineLevel="0" collapsed="false">
      <c r="A21" s="6" t="s">
        <v>644</v>
      </c>
      <c r="B21" s="6" t="n">
        <v>13</v>
      </c>
      <c r="C21" s="6" t="s">
        <v>645</v>
      </c>
    </row>
    <row r="22" customFormat="false" ht="15" hidden="false" customHeight="false" outlineLevel="0" collapsed="false">
      <c r="A22" s="6" t="s">
        <v>646</v>
      </c>
      <c r="B22" s="6" t="n">
        <v>11</v>
      </c>
      <c r="C22" s="6" t="s">
        <v>647</v>
      </c>
    </row>
    <row r="23" customFormat="false" ht="15" hidden="false" customHeight="false" outlineLevel="0" collapsed="false">
      <c r="A23" s="6" t="s">
        <v>648</v>
      </c>
      <c r="B23" s="6" t="n">
        <v>11</v>
      </c>
      <c r="C23" s="6" t="s">
        <v>647</v>
      </c>
    </row>
    <row r="24" customFormat="false" ht="15" hidden="false" customHeight="false" outlineLevel="0" collapsed="false">
      <c r="A24" s="6" t="s">
        <v>649</v>
      </c>
      <c r="B24" s="6" t="n">
        <v>16</v>
      </c>
      <c r="C24" s="6" t="s">
        <v>650</v>
      </c>
    </row>
    <row r="25" customFormat="false" ht="15" hidden="false" customHeight="false" outlineLevel="0" collapsed="false">
      <c r="A25" s="6" t="s">
        <v>651</v>
      </c>
      <c r="B25" s="6" t="n">
        <v>22</v>
      </c>
      <c r="C25" s="6" t="s">
        <v>652</v>
      </c>
    </row>
    <row r="26" customFormat="false" ht="15" hidden="false" customHeight="false" outlineLevel="0" collapsed="false">
      <c r="A26" s="6" t="s">
        <v>653</v>
      </c>
      <c r="B26" s="6" t="n">
        <v>27</v>
      </c>
      <c r="C26" s="6" t="s">
        <v>654</v>
      </c>
    </row>
    <row r="27" customFormat="false" ht="15" hidden="false" customHeight="false" outlineLevel="0" collapsed="false">
      <c r="A27" s="6" t="s">
        <v>655</v>
      </c>
      <c r="B27" s="6" t="n">
        <v>22</v>
      </c>
      <c r="C27" s="6" t="s">
        <v>652</v>
      </c>
    </row>
    <row r="30" customFormat="false" ht="15" hidden="false" customHeight="false" outlineLevel="0" collapsed="false">
      <c r="A30" s="3" t="s">
        <v>656</v>
      </c>
      <c r="B30" s="3"/>
      <c r="C30" s="3"/>
      <c r="D30" s="3"/>
      <c r="E30" s="3"/>
    </row>
    <row r="31" customFormat="false" ht="39.55" hidden="false" customHeight="false" outlineLevel="0" collapsed="false">
      <c r="A31" s="4" t="s">
        <v>657</v>
      </c>
      <c r="B31" s="4" t="s">
        <v>658</v>
      </c>
    </row>
    <row r="32" customFormat="false" ht="15" hidden="false" customHeight="true" outlineLevel="0" collapsed="false">
      <c r="A32" s="5" t="s">
        <v>659</v>
      </c>
      <c r="B32" s="23" t="s">
        <v>660</v>
      </c>
      <c r="C32" s="23"/>
      <c r="D32" s="23"/>
      <c r="E32" s="23"/>
    </row>
    <row r="33" customFormat="false" ht="15" hidden="false" customHeight="true" outlineLevel="0" collapsed="false">
      <c r="A33" s="5" t="s">
        <v>661</v>
      </c>
      <c r="B33" s="23" t="s">
        <v>662</v>
      </c>
      <c r="C33" s="23"/>
      <c r="D33" s="23"/>
      <c r="E33" s="23"/>
    </row>
    <row r="34" customFormat="false" ht="15" hidden="false" customHeight="true" outlineLevel="0" collapsed="false">
      <c r="A34" s="5" t="s">
        <v>663</v>
      </c>
      <c r="B34" s="23" t="s">
        <v>664</v>
      </c>
      <c r="C34" s="23"/>
      <c r="D34" s="23"/>
      <c r="E34" s="23"/>
    </row>
  </sheetData>
  <mergeCells count="8">
    <mergeCell ref="A1:E1"/>
    <mergeCell ref="A2:E2"/>
    <mergeCell ref="A4:E4"/>
    <mergeCell ref="A16:E16"/>
    <mergeCell ref="A30:E30"/>
    <mergeCell ref="B32:E32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72"/>
    <col collapsed="false" customWidth="true" hidden="false" outlineLevel="0" max="4" min="4" style="0" width="36"/>
  </cols>
  <sheetData>
    <row r="1" customFormat="false" ht="24.45" hidden="false" customHeight="false" outlineLevel="0" collapsed="false">
      <c r="A1" s="1" t="s">
        <v>665</v>
      </c>
      <c r="B1" s="1"/>
      <c r="C1" s="1"/>
      <c r="D1" s="1"/>
    </row>
    <row r="2" customFormat="false" ht="15" hidden="false" customHeight="false" outlineLevel="0" collapsed="false">
      <c r="A2" s="2" t="s">
        <v>666</v>
      </c>
      <c r="B2" s="2"/>
      <c r="C2" s="2"/>
      <c r="D2" s="2"/>
    </row>
    <row r="4" customFormat="false" ht="15" hidden="false" customHeight="false" outlineLevel="0" collapsed="false">
      <c r="A4" s="4" t="s">
        <v>667</v>
      </c>
      <c r="B4" s="4" t="s">
        <v>668</v>
      </c>
      <c r="C4" s="4" t="s">
        <v>669</v>
      </c>
      <c r="D4" s="4" t="s">
        <v>670</v>
      </c>
    </row>
    <row r="5" customFormat="false" ht="30" hidden="false" customHeight="true" outlineLevel="0" collapsed="false">
      <c r="A5" s="24" t="s">
        <v>671</v>
      </c>
      <c r="B5" s="24" t="s">
        <v>672</v>
      </c>
      <c r="C5" s="24" t="s">
        <v>673</v>
      </c>
      <c r="D5" s="24" t="s">
        <v>674</v>
      </c>
    </row>
    <row r="6" customFormat="false" ht="30" hidden="false" customHeight="true" outlineLevel="0" collapsed="false">
      <c r="A6" s="6"/>
      <c r="B6" s="6" t="s">
        <v>672</v>
      </c>
      <c r="C6" s="6" t="s">
        <v>675</v>
      </c>
      <c r="D6" s="6" t="s">
        <v>676</v>
      </c>
    </row>
    <row r="7" customFormat="false" ht="30" hidden="false" customHeight="true" outlineLevel="0" collapsed="false">
      <c r="A7" s="6"/>
      <c r="B7" s="6" t="s">
        <v>672</v>
      </c>
      <c r="C7" s="6" t="s">
        <v>677</v>
      </c>
      <c r="D7" s="6"/>
    </row>
    <row r="8" customFormat="false" ht="30" hidden="false" customHeight="true" outlineLevel="0" collapsed="false">
      <c r="A8" s="6"/>
      <c r="B8" s="6" t="s">
        <v>678</v>
      </c>
      <c r="C8" s="6" t="s">
        <v>679</v>
      </c>
      <c r="D8" s="6" t="s">
        <v>680</v>
      </c>
    </row>
    <row r="9" customFormat="false" ht="30" hidden="false" customHeight="true" outlineLevel="0" collapsed="false">
      <c r="A9" s="6"/>
      <c r="B9" s="6" t="s">
        <v>678</v>
      </c>
      <c r="C9" s="6" t="s">
        <v>681</v>
      </c>
      <c r="D9" s="6" t="s">
        <v>682</v>
      </c>
    </row>
    <row r="10" customFormat="false" ht="30" hidden="false" customHeight="true" outlineLevel="0" collapsed="false">
      <c r="A10" s="6"/>
      <c r="B10" s="6" t="s">
        <v>678</v>
      </c>
      <c r="C10" s="6" t="s">
        <v>683</v>
      </c>
      <c r="D10" s="6" t="s">
        <v>684</v>
      </c>
    </row>
    <row r="11" customFormat="false" ht="30" hidden="false" customHeight="true" outlineLevel="0" collapsed="false">
      <c r="A11" s="24" t="s">
        <v>685</v>
      </c>
      <c r="B11" s="24" t="s">
        <v>686</v>
      </c>
      <c r="C11" s="24" t="s">
        <v>687</v>
      </c>
      <c r="D11" s="24" t="s">
        <v>688</v>
      </c>
    </row>
    <row r="12" customFormat="false" ht="30" hidden="false" customHeight="true" outlineLevel="0" collapsed="false">
      <c r="A12" s="6"/>
      <c r="B12" s="6" t="s">
        <v>686</v>
      </c>
      <c r="C12" s="6" t="s">
        <v>689</v>
      </c>
      <c r="D12" s="6" t="s">
        <v>690</v>
      </c>
    </row>
    <row r="13" customFormat="false" ht="30" hidden="false" customHeight="true" outlineLevel="0" collapsed="false">
      <c r="A13" s="6"/>
      <c r="B13" s="6" t="s">
        <v>691</v>
      </c>
      <c r="C13" s="6" t="s">
        <v>692</v>
      </c>
      <c r="D13" s="6" t="s">
        <v>693</v>
      </c>
    </row>
    <row r="14" customFormat="false" ht="30" hidden="false" customHeight="true" outlineLevel="0" collapsed="false">
      <c r="A14" s="6"/>
      <c r="B14" s="6" t="s">
        <v>694</v>
      </c>
      <c r="C14" s="6" t="s">
        <v>695</v>
      </c>
      <c r="D14" s="6" t="s">
        <v>696</v>
      </c>
    </row>
    <row r="15" customFormat="false" ht="30" hidden="false" customHeight="true" outlineLevel="0" collapsed="false">
      <c r="A15" s="24" t="s">
        <v>697</v>
      </c>
      <c r="B15" s="24" t="s">
        <v>698</v>
      </c>
      <c r="C15" s="24" t="s">
        <v>699</v>
      </c>
      <c r="D15" s="24" t="s">
        <v>700</v>
      </c>
    </row>
    <row r="16" customFormat="false" ht="30" hidden="false" customHeight="true" outlineLevel="0" collapsed="false">
      <c r="A16" s="6"/>
      <c r="B16" s="6" t="s">
        <v>701</v>
      </c>
      <c r="C16" s="6" t="s">
        <v>702</v>
      </c>
      <c r="D16" s="6" t="s">
        <v>703</v>
      </c>
    </row>
    <row r="17" customFormat="false" ht="30" hidden="false" customHeight="true" outlineLevel="0" collapsed="false">
      <c r="A17" s="24" t="s">
        <v>704</v>
      </c>
      <c r="B17" s="24" t="s">
        <v>705</v>
      </c>
      <c r="C17" s="24" t="s">
        <v>706</v>
      </c>
      <c r="D17" s="24" t="s">
        <v>707</v>
      </c>
    </row>
    <row r="18" customFormat="false" ht="30" hidden="false" customHeight="true" outlineLevel="0" collapsed="false">
      <c r="A18" s="6"/>
      <c r="B18" s="6" t="s">
        <v>708</v>
      </c>
      <c r="C18" s="6" t="s">
        <v>709</v>
      </c>
      <c r="D18" s="6" t="s">
        <v>710</v>
      </c>
    </row>
    <row r="19" customFormat="false" ht="30" hidden="false" customHeight="true" outlineLevel="0" collapsed="false">
      <c r="A19" s="6"/>
      <c r="B19" s="6" t="s">
        <v>708</v>
      </c>
      <c r="C19" s="6" t="s">
        <v>711</v>
      </c>
      <c r="D19" s="6"/>
    </row>
    <row r="20" customFormat="false" ht="30" hidden="false" customHeight="true" outlineLevel="0" collapsed="false">
      <c r="A20" s="6"/>
      <c r="B20" s="6" t="s">
        <v>712</v>
      </c>
      <c r="C20" s="6" t="s">
        <v>713</v>
      </c>
      <c r="D20" s="6"/>
    </row>
    <row r="21" customFormat="false" ht="30" hidden="false" customHeight="true" outlineLevel="0" collapsed="false">
      <c r="A21" s="6"/>
      <c r="B21" s="6" t="s">
        <v>712</v>
      </c>
      <c r="C21" s="6" t="s">
        <v>714</v>
      </c>
      <c r="D21" s="6" t="s">
        <v>715</v>
      </c>
    </row>
    <row r="22" customFormat="false" ht="30" hidden="false" customHeight="true" outlineLevel="0" collapsed="false">
      <c r="A22" s="6"/>
      <c r="B22" s="6" t="s">
        <v>716</v>
      </c>
      <c r="C22" s="6" t="s">
        <v>717</v>
      </c>
      <c r="D22" s="6" t="s">
        <v>718</v>
      </c>
    </row>
    <row r="23" customFormat="false" ht="30" hidden="false" customHeight="true" outlineLevel="0" collapsed="false">
      <c r="A23" s="6"/>
      <c r="B23" s="6" t="s">
        <v>719</v>
      </c>
      <c r="C23" s="6" t="s">
        <v>720</v>
      </c>
      <c r="D23" s="6" t="s">
        <v>721</v>
      </c>
    </row>
    <row r="24" customFormat="false" ht="30" hidden="false" customHeight="true" outlineLevel="0" collapsed="false">
      <c r="A24" s="24" t="s">
        <v>722</v>
      </c>
      <c r="B24" s="24" t="s">
        <v>723</v>
      </c>
      <c r="C24" s="24" t="s">
        <v>724</v>
      </c>
      <c r="D24" s="24" t="s">
        <v>725</v>
      </c>
    </row>
    <row r="25" customFormat="false" ht="30" hidden="false" customHeight="true" outlineLevel="0" collapsed="false">
      <c r="A25" s="6"/>
      <c r="B25" s="6" t="s">
        <v>723</v>
      </c>
      <c r="C25" s="6" t="s">
        <v>726</v>
      </c>
      <c r="D25" s="6" t="s">
        <v>727</v>
      </c>
    </row>
    <row r="26" customFormat="false" ht="30" hidden="false" customHeight="true" outlineLevel="0" collapsed="false">
      <c r="A26" s="6"/>
      <c r="B26" s="6" t="s">
        <v>723</v>
      </c>
      <c r="C26" s="6" t="s">
        <v>728</v>
      </c>
      <c r="D26" s="6" t="s">
        <v>729</v>
      </c>
    </row>
    <row r="27" customFormat="false" ht="30" hidden="false" customHeight="true" outlineLevel="0" collapsed="false">
      <c r="A27" s="6"/>
      <c r="B27" s="6" t="s">
        <v>730</v>
      </c>
      <c r="C27" s="6" t="s">
        <v>731</v>
      </c>
      <c r="D27" s="6" t="s">
        <v>732</v>
      </c>
    </row>
    <row r="28" customFormat="false" ht="30" hidden="false" customHeight="true" outlineLevel="0" collapsed="false">
      <c r="A28" s="6"/>
      <c r="B28" s="6" t="s">
        <v>733</v>
      </c>
      <c r="C28" s="6" t="s">
        <v>734</v>
      </c>
      <c r="D28" s="6" t="s">
        <v>735</v>
      </c>
    </row>
    <row r="29" customFormat="false" ht="30" hidden="false" customHeight="true" outlineLevel="0" collapsed="false">
      <c r="A29" s="24" t="s">
        <v>736</v>
      </c>
      <c r="B29" s="24" t="s">
        <v>737</v>
      </c>
      <c r="C29" s="24" t="s">
        <v>738</v>
      </c>
      <c r="D29" s="24" t="s">
        <v>739</v>
      </c>
    </row>
    <row r="30" customFormat="false" ht="30" hidden="false" customHeight="true" outlineLevel="0" collapsed="false">
      <c r="A30" s="6"/>
      <c r="B30" s="6" t="s">
        <v>737</v>
      </c>
      <c r="C30" s="6" t="s">
        <v>740</v>
      </c>
      <c r="D30" s="6" t="s">
        <v>741</v>
      </c>
    </row>
    <row r="31" customFormat="false" ht="30" hidden="false" customHeight="true" outlineLevel="0" collapsed="false">
      <c r="A31" s="6"/>
      <c r="B31" s="6" t="s">
        <v>737</v>
      </c>
      <c r="C31" s="6" t="s">
        <v>742</v>
      </c>
      <c r="D31" s="6" t="s">
        <v>743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2026-05-10T07:21:20Z</dcterms:created>
  <dc:creator>openpyxl</dc:creator>
  <dc:description/>
  <dc:language>en-US</dc:language>
  <cp:lastModifiedBy/>
  <dcterms:modified xsi:type="dcterms:W3CDTF">2026-05-10T07:21:20Z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